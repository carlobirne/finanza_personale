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.arietti\Downloads\"/>
    </mc:Choice>
  </mc:AlternateContent>
  <xr:revisionPtr revIDLastSave="0" documentId="13_ncr:1_{0B8A72B0-2446-46C8-9009-D4E9D274436B}" xr6:coauthVersionLast="47" xr6:coauthVersionMax="47" xr10:uidLastSave="{00000000-0000-0000-0000-000000000000}"/>
  <bookViews>
    <workbookView xWindow="-120" yWindow="-120" windowWidth="29040" windowHeight="15720" xr2:uid="{45DD0601-7E0B-41B3-A9BC-2726C91B7179}"/>
  </bookViews>
  <sheets>
    <sheet name="Fondo Pensione Fineco Amund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1" l="1"/>
  <c r="B26" i="1"/>
  <c r="C47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B2" i="1"/>
  <c r="B18" i="1" l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B10" i="1"/>
  <c r="B3" i="1"/>
  <c r="C3" i="1" s="1"/>
  <c r="C9" i="1" s="1"/>
  <c r="C49" i="1"/>
  <c r="E37" i="1"/>
  <c r="G37" i="1"/>
  <c r="F37" i="1"/>
  <c r="F39" i="1" s="1"/>
  <c r="E38" i="1"/>
  <c r="B9" i="1" l="1"/>
  <c r="C14" i="1"/>
  <c r="E39" i="1"/>
  <c r="D3" i="1"/>
  <c r="B5" i="1"/>
  <c r="C5" i="1"/>
  <c r="C6" i="1" s="1"/>
  <c r="B14" i="1" l="1"/>
  <c r="B6" i="1"/>
  <c r="D9" i="1"/>
  <c r="D14" i="1" s="1"/>
  <c r="B11" i="1"/>
  <c r="B15" i="1" s="1"/>
  <c r="E3" i="1"/>
  <c r="E9" i="1" s="1"/>
  <c r="D5" i="1"/>
  <c r="D6" i="1" s="1"/>
  <c r="E14" i="1" l="1"/>
  <c r="B12" i="1"/>
  <c r="B13" i="1" s="1"/>
  <c r="C11" i="1"/>
  <c r="C15" i="1" s="1"/>
  <c r="F3" i="1"/>
  <c r="E5" i="1"/>
  <c r="E6" i="1" s="1"/>
  <c r="F9" i="1" l="1"/>
  <c r="C12" i="1"/>
  <c r="C13" i="1" s="1"/>
  <c r="D11" i="1"/>
  <c r="D15" i="1" s="1"/>
  <c r="F5" i="1"/>
  <c r="F6" i="1" s="1"/>
  <c r="G3" i="1"/>
  <c r="F14" i="1" l="1"/>
  <c r="G9" i="1"/>
  <c r="G14" i="1" s="1"/>
  <c r="D12" i="1"/>
  <c r="D13" i="1" s="1"/>
  <c r="E11" i="1"/>
  <c r="E15" i="1" s="1"/>
  <c r="H3" i="1"/>
  <c r="G5" i="1"/>
  <c r="G6" i="1" s="1"/>
  <c r="H9" i="1" l="1"/>
  <c r="F11" i="1"/>
  <c r="F15" i="1" s="1"/>
  <c r="E12" i="1"/>
  <c r="E13" i="1" s="1"/>
  <c r="I3" i="1"/>
  <c r="H5" i="1"/>
  <c r="H6" i="1" s="1"/>
  <c r="H14" i="1" l="1"/>
  <c r="I9" i="1"/>
  <c r="I14" i="1" s="1"/>
  <c r="G11" i="1"/>
  <c r="G15" i="1" s="1"/>
  <c r="F12" i="1"/>
  <c r="F13" i="1" s="1"/>
  <c r="J3" i="1"/>
  <c r="I5" i="1"/>
  <c r="I6" i="1" s="1"/>
  <c r="J9" i="1" l="1"/>
  <c r="H11" i="1"/>
  <c r="H15" i="1" s="1"/>
  <c r="G12" i="1"/>
  <c r="G13" i="1" s="1"/>
  <c r="K3" i="1"/>
  <c r="J5" i="1"/>
  <c r="J6" i="1" s="1"/>
  <c r="G39" i="1"/>
  <c r="G40" i="1" s="1"/>
  <c r="J14" i="1" l="1"/>
  <c r="K9" i="1"/>
  <c r="K14" i="1" s="1"/>
  <c r="I11" i="1"/>
  <c r="I15" i="1" s="1"/>
  <c r="H12" i="1"/>
  <c r="H13" i="1" s="1"/>
  <c r="B4" i="1"/>
  <c r="J4" i="1"/>
  <c r="C4" i="1"/>
  <c r="D4" i="1"/>
  <c r="E4" i="1"/>
  <c r="F4" i="1"/>
  <c r="G4" i="1"/>
  <c r="H4" i="1"/>
  <c r="I4" i="1"/>
  <c r="L3" i="1"/>
  <c r="K4" i="1"/>
  <c r="K5" i="1"/>
  <c r="K6" i="1" s="1"/>
  <c r="L9" i="1" l="1"/>
  <c r="L14" i="1" s="1"/>
  <c r="J11" i="1"/>
  <c r="J15" i="1" s="1"/>
  <c r="I12" i="1"/>
  <c r="I13" i="1" s="1"/>
  <c r="K7" i="1"/>
  <c r="E7" i="1"/>
  <c r="F7" i="1"/>
  <c r="D7" i="1"/>
  <c r="J7" i="1"/>
  <c r="G7" i="1"/>
  <c r="B7" i="1"/>
  <c r="B8" i="1" s="1"/>
  <c r="C7" i="1"/>
  <c r="I7" i="1"/>
  <c r="M3" i="1"/>
  <c r="L4" i="1"/>
  <c r="L5" i="1"/>
  <c r="L6" i="1" s="1"/>
  <c r="H7" i="1"/>
  <c r="M9" i="1" l="1"/>
  <c r="M14" i="1" s="1"/>
  <c r="AK8" i="1"/>
  <c r="AU8" i="1"/>
  <c r="AI8" i="1"/>
  <c r="W8" i="1"/>
  <c r="AG8" i="1"/>
  <c r="AR8" i="1"/>
  <c r="AQ8" i="1"/>
  <c r="AC8" i="1"/>
  <c r="AN8" i="1"/>
  <c r="AB8" i="1"/>
  <c r="AM8" i="1"/>
  <c r="AA8" i="1"/>
  <c r="Y8" i="1"/>
  <c r="AJ8" i="1"/>
  <c r="X8" i="1"/>
  <c r="AT8" i="1"/>
  <c r="AH8" i="1"/>
  <c r="V8" i="1"/>
  <c r="AS8" i="1"/>
  <c r="AF8" i="1"/>
  <c r="AE8" i="1"/>
  <c r="AP8" i="1"/>
  <c r="AD8" i="1"/>
  <c r="AO8" i="1"/>
  <c r="AL8" i="1"/>
  <c r="Z8" i="1"/>
  <c r="K11" i="1"/>
  <c r="K15" i="1" s="1"/>
  <c r="J12" i="1"/>
  <c r="J13" i="1" s="1"/>
  <c r="J8" i="1"/>
  <c r="U8" i="1"/>
  <c r="I8" i="1"/>
  <c r="T8" i="1"/>
  <c r="H8" i="1"/>
  <c r="S8" i="1"/>
  <c r="G8" i="1"/>
  <c r="R8" i="1"/>
  <c r="F8" i="1"/>
  <c r="Q8" i="1"/>
  <c r="E8" i="1"/>
  <c r="P8" i="1"/>
  <c r="D8" i="1"/>
  <c r="O8" i="1"/>
  <c r="C8" i="1"/>
  <c r="N8" i="1"/>
  <c r="M8" i="1"/>
  <c r="L8" i="1"/>
  <c r="K8" i="1"/>
  <c r="L7" i="1"/>
  <c r="N3" i="1"/>
  <c r="M4" i="1"/>
  <c r="M5" i="1"/>
  <c r="M6" i="1" s="1"/>
  <c r="N9" i="1" l="1"/>
  <c r="N14" i="1" s="1"/>
  <c r="B27" i="1"/>
  <c r="L11" i="1"/>
  <c r="L15" i="1" s="1"/>
  <c r="K12" i="1"/>
  <c r="K13" i="1" s="1"/>
  <c r="M7" i="1"/>
  <c r="O3" i="1"/>
  <c r="N4" i="1"/>
  <c r="N5" i="1"/>
  <c r="N6" i="1" s="1"/>
  <c r="O9" i="1" l="1"/>
  <c r="O14" i="1" s="1"/>
  <c r="M11" i="1"/>
  <c r="M15" i="1" s="1"/>
  <c r="L12" i="1"/>
  <c r="L13" i="1" s="1"/>
  <c r="N7" i="1"/>
  <c r="P3" i="1"/>
  <c r="O4" i="1"/>
  <c r="O5" i="1"/>
  <c r="O6" i="1" s="1"/>
  <c r="P9" i="1" l="1"/>
  <c r="P14" i="1" s="1"/>
  <c r="N11" i="1"/>
  <c r="N15" i="1" s="1"/>
  <c r="M12" i="1"/>
  <c r="M13" i="1" s="1"/>
  <c r="O7" i="1"/>
  <c r="Q3" i="1"/>
  <c r="P4" i="1"/>
  <c r="P5" i="1"/>
  <c r="P6" i="1" s="1"/>
  <c r="Q9" i="1" l="1"/>
  <c r="Q14" i="1" s="1"/>
  <c r="O11" i="1"/>
  <c r="O15" i="1" s="1"/>
  <c r="N12" i="1"/>
  <c r="N13" i="1" s="1"/>
  <c r="R3" i="1"/>
  <c r="Q4" i="1"/>
  <c r="Q5" i="1"/>
  <c r="Q6" i="1" s="1"/>
  <c r="P7" i="1"/>
  <c r="R9" i="1" l="1"/>
  <c r="R14" i="1" s="1"/>
  <c r="P11" i="1"/>
  <c r="P15" i="1" s="1"/>
  <c r="O12" i="1"/>
  <c r="O13" i="1" s="1"/>
  <c r="Q7" i="1"/>
  <c r="S3" i="1"/>
  <c r="R4" i="1"/>
  <c r="R5" i="1"/>
  <c r="R6" i="1" s="1"/>
  <c r="S9" i="1" l="1"/>
  <c r="S14" i="1" s="1"/>
  <c r="Q11" i="1"/>
  <c r="Q15" i="1" s="1"/>
  <c r="P12" i="1"/>
  <c r="P13" i="1" s="1"/>
  <c r="R7" i="1"/>
  <c r="T3" i="1"/>
  <c r="S4" i="1"/>
  <c r="S5" i="1"/>
  <c r="S6" i="1" s="1"/>
  <c r="T9" i="1" l="1"/>
  <c r="T14" i="1" s="1"/>
  <c r="R11" i="1"/>
  <c r="R15" i="1" s="1"/>
  <c r="Q12" i="1"/>
  <c r="Q13" i="1" s="1"/>
  <c r="S7" i="1"/>
  <c r="U3" i="1"/>
  <c r="U9" i="1" s="1"/>
  <c r="T4" i="1"/>
  <c r="T5" i="1"/>
  <c r="T6" i="1" s="1"/>
  <c r="V3" i="1" l="1"/>
  <c r="S11" i="1"/>
  <c r="S15" i="1" s="1"/>
  <c r="R12" i="1"/>
  <c r="R13" i="1" s="1"/>
  <c r="T7" i="1"/>
  <c r="U4" i="1"/>
  <c r="U5" i="1"/>
  <c r="U6" i="1" s="1"/>
  <c r="V9" i="1" l="1"/>
  <c r="B28" i="1" s="1"/>
  <c r="B29" i="1" s="1"/>
  <c r="U14" i="1"/>
  <c r="V4" i="1"/>
  <c r="V5" i="1"/>
  <c r="V6" i="1" s="1"/>
  <c r="W3" i="1"/>
  <c r="T11" i="1"/>
  <c r="T15" i="1" s="1"/>
  <c r="S12" i="1"/>
  <c r="S13" i="1" s="1"/>
  <c r="U7" i="1"/>
  <c r="V14" i="1" l="1"/>
  <c r="W9" i="1"/>
  <c r="W14" i="1" s="1"/>
  <c r="V7" i="1"/>
  <c r="W4" i="1"/>
  <c r="W5" i="1"/>
  <c r="W6" i="1" s="1"/>
  <c r="X3" i="1"/>
  <c r="U11" i="1"/>
  <c r="U15" i="1" s="1"/>
  <c r="T12" i="1"/>
  <c r="T13" i="1" s="1"/>
  <c r="W7" i="1" l="1"/>
  <c r="X9" i="1"/>
  <c r="X4" i="1"/>
  <c r="Y3" i="1"/>
  <c r="Y4" i="1" s="1"/>
  <c r="X5" i="1"/>
  <c r="X6" i="1" s="1"/>
  <c r="U12" i="1"/>
  <c r="U13" i="1" s="1"/>
  <c r="V11" i="1"/>
  <c r="V15" i="1" s="1"/>
  <c r="X14" i="1" l="1"/>
  <c r="Y5" i="1"/>
  <c r="Y6" i="1" s="1"/>
  <c r="Y7" i="1" s="1"/>
  <c r="Y9" i="1"/>
  <c r="Y14" i="1" s="1"/>
  <c r="X7" i="1"/>
  <c r="Z3" i="1"/>
  <c r="V12" i="1"/>
  <c r="V13" i="1" s="1"/>
  <c r="W11" i="1"/>
  <c r="W15" i="1" s="1"/>
  <c r="Z9" i="1" l="1"/>
  <c r="Z4" i="1"/>
  <c r="Z5" i="1"/>
  <c r="Z6" i="1" s="1"/>
  <c r="AA3" i="1"/>
  <c r="W12" i="1"/>
  <c r="W13" i="1" s="1"/>
  <c r="X11" i="1"/>
  <c r="X15" i="1" s="1"/>
  <c r="Z14" i="1" l="1"/>
  <c r="AA9" i="1"/>
  <c r="Z7" i="1"/>
  <c r="AA4" i="1"/>
  <c r="AA5" i="1"/>
  <c r="AA6" i="1" s="1"/>
  <c r="AA7" i="1" s="1"/>
  <c r="AB3" i="1"/>
  <c r="X12" i="1"/>
  <c r="X13" i="1" s="1"/>
  <c r="Y11" i="1"/>
  <c r="Y15" i="1" s="1"/>
  <c r="AA14" i="1" l="1"/>
  <c r="AB9" i="1"/>
  <c r="AB14" i="1" s="1"/>
  <c r="AB4" i="1"/>
  <c r="AB5" i="1"/>
  <c r="AB6" i="1" s="1"/>
  <c r="AC3" i="1"/>
  <c r="AC5" i="1" s="1"/>
  <c r="AC6" i="1" s="1"/>
  <c r="Y12" i="1"/>
  <c r="Y13" i="1" s="1"/>
  <c r="Z11" i="1"/>
  <c r="Z15" i="1" s="1"/>
  <c r="B19" i="1" l="1"/>
  <c r="B23" i="1" s="1"/>
  <c r="AC4" i="1"/>
  <c r="AC7" i="1" s="1"/>
  <c r="AC9" i="1"/>
  <c r="AC14" i="1" s="1"/>
  <c r="AD3" i="1"/>
  <c r="AD5" i="1" s="1"/>
  <c r="AD6" i="1" s="1"/>
  <c r="AB7" i="1"/>
  <c r="Z12" i="1"/>
  <c r="Z13" i="1" s="1"/>
  <c r="AA11" i="1"/>
  <c r="AA15" i="1" s="1"/>
  <c r="AD4" i="1" l="1"/>
  <c r="AD7" i="1" s="1"/>
  <c r="AE3" i="1"/>
  <c r="AE9" i="1" s="1"/>
  <c r="AE14" i="1" s="1"/>
  <c r="AD9" i="1"/>
  <c r="AD14" i="1" s="1"/>
  <c r="AA12" i="1"/>
  <c r="AA13" i="1" s="1"/>
  <c r="AB11" i="1"/>
  <c r="AB15" i="1" s="1"/>
  <c r="AF3" i="1" l="1"/>
  <c r="AF9" i="1" s="1"/>
  <c r="AF14" i="1" s="1"/>
  <c r="AE5" i="1"/>
  <c r="AE6" i="1" s="1"/>
  <c r="AE4" i="1"/>
  <c r="AB12" i="1"/>
  <c r="AB13" i="1" s="1"/>
  <c r="B20" i="1" s="1"/>
  <c r="AC11" i="1"/>
  <c r="AC15" i="1" s="1"/>
  <c r="B30" i="1" l="1"/>
  <c r="B31" i="1" s="1"/>
  <c r="B21" i="1"/>
  <c r="AF4" i="1"/>
  <c r="AF5" i="1"/>
  <c r="AF6" i="1" s="1"/>
  <c r="AG3" i="1"/>
  <c r="AG9" i="1" s="1"/>
  <c r="AG14" i="1" s="1"/>
  <c r="AE7" i="1"/>
  <c r="AC12" i="1"/>
  <c r="AC13" i="1" s="1"/>
  <c r="AD11" i="1"/>
  <c r="AD15" i="1" s="1"/>
  <c r="AF7" i="1" l="1"/>
  <c r="AH3" i="1"/>
  <c r="AH9" i="1" s="1"/>
  <c r="AH14" i="1" s="1"/>
  <c r="AG5" i="1"/>
  <c r="AG6" i="1" s="1"/>
  <c r="AG4" i="1"/>
  <c r="AD12" i="1"/>
  <c r="AD13" i="1" s="1"/>
  <c r="AE11" i="1"/>
  <c r="AE15" i="1" s="1"/>
  <c r="AG7" i="1" l="1"/>
  <c r="AH4" i="1"/>
  <c r="AH5" i="1"/>
  <c r="AH6" i="1" s="1"/>
  <c r="AI3" i="1"/>
  <c r="AJ3" i="1" s="1"/>
  <c r="AI9" i="1"/>
  <c r="AI14" i="1" s="1"/>
  <c r="AE12" i="1"/>
  <c r="AE13" i="1" s="1"/>
  <c r="AF11" i="1"/>
  <c r="AF15" i="1" s="1"/>
  <c r="B22" i="1" s="1"/>
  <c r="B24" i="1" s="1"/>
  <c r="AI4" i="1" l="1"/>
  <c r="AI5" i="1"/>
  <c r="AI6" i="1" s="1"/>
  <c r="B32" i="1"/>
  <c r="B33" i="1" s="1"/>
  <c r="B25" i="1"/>
  <c r="AH7" i="1"/>
  <c r="AJ9" i="1"/>
  <c r="AJ14" i="1" s="1"/>
  <c r="AF12" i="1"/>
  <c r="AF13" i="1" s="1"/>
  <c r="AG11" i="1"/>
  <c r="AG15" i="1" s="1"/>
  <c r="AK3" i="1"/>
  <c r="AJ5" i="1"/>
  <c r="AJ6" i="1" s="1"/>
  <c r="AJ4" i="1"/>
  <c r="AI7" i="1" l="1"/>
  <c r="AK9" i="1"/>
  <c r="AK14" i="1" s="1"/>
  <c r="AJ7" i="1"/>
  <c r="AL3" i="1"/>
  <c r="AK5" i="1"/>
  <c r="AK6" i="1" s="1"/>
  <c r="AK4" i="1"/>
  <c r="AG12" i="1"/>
  <c r="AG13" i="1" s="1"/>
  <c r="AH11" i="1"/>
  <c r="AH15" i="1" s="1"/>
  <c r="AL9" i="1" l="1"/>
  <c r="AL14" i="1" s="1"/>
  <c r="AK7" i="1"/>
  <c r="AL5" i="1"/>
  <c r="AL6" i="1" s="1"/>
  <c r="AM3" i="1"/>
  <c r="AL4" i="1"/>
  <c r="AH12" i="1"/>
  <c r="AH13" i="1" s="1"/>
  <c r="AI11" i="1"/>
  <c r="AI15" i="1" s="1"/>
  <c r="AM9" i="1" l="1"/>
  <c r="AM14" i="1" s="1"/>
  <c r="AI12" i="1"/>
  <c r="AI13" i="1" s="1"/>
  <c r="AJ11" i="1"/>
  <c r="AJ15" i="1" s="1"/>
  <c r="AL7" i="1"/>
  <c r="AM5" i="1"/>
  <c r="AM6" i="1" s="1"/>
  <c r="AN3" i="1"/>
  <c r="AM4" i="1"/>
  <c r="AN9" i="1" l="1"/>
  <c r="AN14" i="1" s="1"/>
  <c r="AJ12" i="1"/>
  <c r="AJ13" i="1" s="1"/>
  <c r="AK11" i="1"/>
  <c r="AK15" i="1" s="1"/>
  <c r="AM7" i="1"/>
  <c r="AN5" i="1"/>
  <c r="AN6" i="1" s="1"/>
  <c r="AN4" i="1"/>
  <c r="AO3" i="1"/>
  <c r="AO9" i="1" l="1"/>
  <c r="AO14" i="1" s="1"/>
  <c r="AN7" i="1"/>
  <c r="AO5" i="1"/>
  <c r="AO6" i="1" s="1"/>
  <c r="AO4" i="1"/>
  <c r="AP3" i="1"/>
  <c r="AK12" i="1"/>
  <c r="AK13" i="1" s="1"/>
  <c r="AL11" i="1"/>
  <c r="AL15" i="1" s="1"/>
  <c r="AP9" i="1" l="1"/>
  <c r="AP14" i="1" s="1"/>
  <c r="AO7" i="1"/>
  <c r="AL12" i="1"/>
  <c r="AL13" i="1" s="1"/>
  <c r="AM11" i="1"/>
  <c r="AM15" i="1" s="1"/>
  <c r="AP4" i="1"/>
  <c r="AQ3" i="1"/>
  <c r="AP5" i="1"/>
  <c r="AP6" i="1" s="1"/>
  <c r="AQ9" i="1" l="1"/>
  <c r="AQ14" i="1" s="1"/>
  <c r="AQ5" i="1"/>
  <c r="AQ6" i="1" s="1"/>
  <c r="AR3" i="1"/>
  <c r="AQ4" i="1"/>
  <c r="AP7" i="1"/>
  <c r="AM12" i="1"/>
  <c r="AM13" i="1" s="1"/>
  <c r="AN11" i="1"/>
  <c r="AN15" i="1" s="1"/>
  <c r="AR9" i="1" l="1"/>
  <c r="AR14" i="1" s="1"/>
  <c r="AQ7" i="1"/>
  <c r="AR5" i="1"/>
  <c r="AR6" i="1" s="1"/>
  <c r="AS3" i="1"/>
  <c r="AR4" i="1"/>
  <c r="AN12" i="1"/>
  <c r="AN13" i="1" s="1"/>
  <c r="AO11" i="1"/>
  <c r="AO15" i="1" s="1"/>
  <c r="AS9" i="1" l="1"/>
  <c r="AS14" i="1" s="1"/>
  <c r="AO12" i="1"/>
  <c r="AP11" i="1"/>
  <c r="AP15" i="1" s="1"/>
  <c r="AS4" i="1"/>
  <c r="AT3" i="1"/>
  <c r="AS5" i="1"/>
  <c r="AS6" i="1" s="1"/>
  <c r="AR7" i="1"/>
  <c r="AT9" i="1" l="1"/>
  <c r="AT14" i="1" s="1"/>
  <c r="AO13" i="1"/>
  <c r="AT4" i="1"/>
  <c r="AU3" i="1"/>
  <c r="AT5" i="1"/>
  <c r="AT6" i="1" s="1"/>
  <c r="AS7" i="1"/>
  <c r="AP12" i="1"/>
  <c r="AP13" i="1" s="1"/>
  <c r="AQ11" i="1"/>
  <c r="AQ15" i="1" s="1"/>
  <c r="AU9" i="1" l="1"/>
  <c r="AU14" i="1" s="1"/>
  <c r="AQ12" i="1"/>
  <c r="AQ13" i="1" s="1"/>
  <c r="AR11" i="1"/>
  <c r="AR15" i="1" s="1"/>
  <c r="AU5" i="1"/>
  <c r="AU6" i="1" s="1"/>
  <c r="AU4" i="1"/>
  <c r="AT7" i="1"/>
  <c r="AU7" i="1" l="1"/>
  <c r="AR12" i="1"/>
  <c r="AR13" i="1" s="1"/>
  <c r="AS11" i="1"/>
  <c r="AS15" i="1" s="1"/>
  <c r="AS12" i="1" l="1"/>
  <c r="AS13" i="1" s="1"/>
  <c r="AT11" i="1"/>
  <c r="AT15" i="1" s="1"/>
  <c r="AT12" i="1" l="1"/>
  <c r="AT13" i="1" s="1"/>
  <c r="AU11" i="1"/>
  <c r="AU12" i="1" s="1"/>
  <c r="AU13" i="1" s="1"/>
  <c r="AU15" i="1" l="1"/>
</calcChain>
</file>

<file path=xl/sharedStrings.xml><?xml version="1.0" encoding="utf-8"?>
<sst xmlns="http://schemas.openxmlformats.org/spreadsheetml/2006/main" count="74" uniqueCount="70">
  <si>
    <t>Anno</t>
  </si>
  <si>
    <t>TFR Versato</t>
  </si>
  <si>
    <t>Irpef Annua</t>
  </si>
  <si>
    <t>RAL Oggi</t>
  </si>
  <si>
    <t>I° Scagl.</t>
  </si>
  <si>
    <t>II° Scagl.</t>
  </si>
  <si>
    <t>III° Scagl.</t>
  </si>
  <si>
    <t>SCAGLIONI IRPEF</t>
  </si>
  <si>
    <t>Tasse su Imponibile</t>
  </si>
  <si>
    <t>Anno Pensionamento</t>
  </si>
  <si>
    <t>Costo Amministrativo</t>
  </si>
  <si>
    <t>Costo di Gestione</t>
  </si>
  <si>
    <t>Costo di Gestione Fondo</t>
  </si>
  <si>
    <t>Capitale Finale Totale</t>
  </si>
  <si>
    <t>PARAMETRI E LEVE</t>
  </si>
  <si>
    <t>Nuova RAL (nuovo cuneo)</t>
  </si>
  <si>
    <t>Nuova Irpef (su nuovo cuneo)</t>
  </si>
  <si>
    <t>Soglia irpef 0</t>
  </si>
  <si>
    <t>Soglia irpef I</t>
  </si>
  <si>
    <t>Soglia irpef II</t>
  </si>
  <si>
    <t>Soglia irpef III</t>
  </si>
  <si>
    <t>Sviluppo RAL negli Anni</t>
  </si>
  <si>
    <t>Tasse su Rendita</t>
  </si>
  <si>
    <t>Riduzione % Irpef dai 15 anni di permanenza in poi</t>
  </si>
  <si>
    <t>RLC meno Tasse su Rendita (Rendimento Netto)</t>
  </si>
  <si>
    <t>Rendimento Netto (meno Inflazione)</t>
  </si>
  <si>
    <t>Rendimento Netto % (meno Inflazione)</t>
  </si>
  <si>
    <t>Risultato</t>
  </si>
  <si>
    <t>RENDICONTAZIONE</t>
  </si>
  <si>
    <t>TOT:</t>
  </si>
  <si>
    <t xml:space="preserve">Ipotesi Rendimento % del Fondo </t>
  </si>
  <si>
    <t>Ipotesi Inflazione Annua</t>
  </si>
  <si>
    <t>Ipotesi Incremento RAL annuo</t>
  </si>
  <si>
    <t>Vuoi versare anche il TFR?</t>
  </si>
  <si>
    <t>Vuoi versare anche la quota aggiuntiva?</t>
  </si>
  <si>
    <t>Vuoi rendicontare?</t>
  </si>
  <si>
    <t>Quota Totale Versata</t>
  </si>
  <si>
    <t>Costi Finali di Gestione Fondo</t>
  </si>
  <si>
    <t>Anni prospettiva di vita dopo la pensione</t>
  </si>
  <si>
    <t>Costo Amministrativo Annuo Fondo</t>
  </si>
  <si>
    <t>Quota Aggiuntiva</t>
  </si>
  <si>
    <t>Rendimento Lordo Composto (RLC)</t>
  </si>
  <si>
    <t>Rendimento Netto meno Inflazione</t>
  </si>
  <si>
    <t>Riduzione Tassa 15-9%</t>
  </si>
  <si>
    <t>Parametro per calcolo TFR Annuo</t>
  </si>
  <si>
    <t>Tassazione Agevolata 15-9%</t>
  </si>
  <si>
    <t>Note</t>
  </si>
  <si>
    <t>TFR + Quota annuale</t>
  </si>
  <si>
    <t>Grazie alla % richiesta dal fondo per la gestione annuale</t>
  </si>
  <si>
    <t xml:space="preserve">Tassazione agevolata 15%-9% (dipenda da quanti anni di permanenza dopo il 15° anno </t>
  </si>
  <si>
    <t>Tasse non versate grazie ai 5164,57€ dedotti dalla RAL per abbassare il cuneo</t>
  </si>
  <si>
    <t>Ottenuto dal totale versato diviso gli anni di aspettativa di vita dopo la pensione (circa 25)</t>
  </si>
  <si>
    <t>Ottenuto dividendo il vitalizio annuale per 13 menislità</t>
  </si>
  <si>
    <t>Ottenuto calcolando il totale versato sulle aliquote irpef</t>
  </si>
  <si>
    <t>Anni da versare fino alla pensione</t>
  </si>
  <si>
    <t>In base al valore % di rendita del fondo ipotizzato e indicato  in leva</t>
  </si>
  <si>
    <t>Vitalizio Annuale Lordo</t>
  </si>
  <si>
    <t>Vitalizio Annuale Netto</t>
  </si>
  <si>
    <t>Vitalizio Mensile Netto</t>
  </si>
  <si>
    <t>NO</t>
  </si>
  <si>
    <t>Quota aggiuntiva (versamenti volontari)</t>
  </si>
  <si>
    <t>Quota Versata + Rendimento netto - costi gestione - tasse</t>
  </si>
  <si>
    <t>Capitale finale - Quota versata</t>
  </si>
  <si>
    <t>Vitalizio Mensile Lordo</t>
  </si>
  <si>
    <t>Risultato %</t>
  </si>
  <si>
    <t>Tasse versate (irpef) se non avessi fatto il fondo</t>
  </si>
  <si>
    <t>Tasse in meno pagate irpef (meno inflazione) grazie a deducibilità in 730</t>
  </si>
  <si>
    <t>Meno Tasse pagate (irpef)</t>
  </si>
  <si>
    <t>Meno Tasse pagate meno Inflazione (irpef)</t>
  </si>
  <si>
    <t>Tasse versate (irpef) facendo il fondo (meno inflazione)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</si>
</sst>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\ &quot;€&quot;_-;\-* #,##0\ &quot;€&quot;_-;_-* &quot;-&quot;??\ &quot;€&quot;_-;_-@_-"/>
    <numFmt numFmtId="165" formatCode="_-* #,##0_-;\-* #,##0_-;_-* &quot;-&quot;??_-;_-@_-"/>
    <numFmt numFmtId="166" formatCode="_-* #,##0.00\ _€_-;\-* #,##0.00\ _€_-;_-* &quot;-&quot;??\ _€_-;_-@_-"/>
    <numFmt numFmtId="167" formatCode="0_ ;\-0\ "/>
    <numFmt numFmtId="168" formatCode="0.00_ ;\-0.00\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0" fillId="0" borderId="1" xfId="0" applyBorder="1"/>
    <xf numFmtId="9" fontId="0" fillId="0" borderId="1" xfId="0" applyNumberFormat="1" applyBorder="1"/>
    <xf numFmtId="165" fontId="0" fillId="0" borderId="1" xfId="0" applyNumberFormat="1" applyBorder="1"/>
    <xf numFmtId="164" fontId="0" fillId="0" borderId="1" xfId="0" applyNumberFormat="1" applyBorder="1"/>
    <xf numFmtId="9" fontId="0" fillId="0" borderId="1" xfId="3" applyFont="1" applyBorder="1"/>
    <xf numFmtId="10" fontId="0" fillId="0" borderId="1" xfId="0" applyNumberFormat="1" applyBorder="1"/>
    <xf numFmtId="164" fontId="0" fillId="0" borderId="1" xfId="2" applyNumberFormat="1" applyFont="1" applyBorder="1"/>
    <xf numFmtId="0" fontId="0" fillId="2" borderId="1" xfId="0" applyFill="1" applyBorder="1"/>
    <xf numFmtId="0" fontId="2" fillId="3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43" fontId="0" fillId="0" borderId="1" xfId="1" applyFont="1" applyBorder="1"/>
    <xf numFmtId="166" fontId="0" fillId="0" borderId="1" xfId="0" applyNumberFormat="1" applyBorder="1"/>
    <xf numFmtId="164" fontId="0" fillId="0" borderId="1" xfId="3" applyNumberFormat="1" applyFont="1" applyBorder="1"/>
    <xf numFmtId="0" fontId="0" fillId="7" borderId="1" xfId="0" applyFill="1" applyBorder="1"/>
    <xf numFmtId="0" fontId="0" fillId="8" borderId="1" xfId="0" applyFill="1" applyBorder="1"/>
    <xf numFmtId="0" fontId="0" fillId="10" borderId="1" xfId="0" applyFill="1" applyBorder="1"/>
    <xf numFmtId="0" fontId="3" fillId="3" borderId="1" xfId="0" applyFont="1" applyFill="1" applyBorder="1"/>
    <xf numFmtId="44" fontId="0" fillId="0" borderId="1" xfId="2" applyFont="1" applyBorder="1"/>
    <xf numFmtId="164" fontId="0" fillId="0" borderId="0" xfId="2" applyNumberFormat="1" applyFont="1" applyBorder="1"/>
    <xf numFmtId="0" fontId="0" fillId="0" borderId="1" xfId="0" applyBorder="1" applyAlignment="1">
      <alignment horizontal="right"/>
    </xf>
    <xf numFmtId="0" fontId="2" fillId="9" borderId="1" xfId="0" applyFont="1" applyFill="1" applyBorder="1" applyAlignment="1">
      <alignment horizontal="center"/>
    </xf>
    <xf numFmtId="44" fontId="0" fillId="0" borderId="1" xfId="0" applyNumberFormat="1" applyBorder="1"/>
    <xf numFmtId="0" fontId="0" fillId="11" borderId="1" xfId="0" applyFill="1" applyBorder="1"/>
    <xf numFmtId="165" fontId="0" fillId="0" borderId="1" xfId="1" applyNumberFormat="1" applyFont="1" applyBorder="1"/>
    <xf numFmtId="168" fontId="0" fillId="0" borderId="1" xfId="1" applyNumberFormat="1" applyFont="1" applyFill="1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0" fontId="0" fillId="0" borderId="0" xfId="3" applyNumberFormat="1" applyFont="1" applyAlignment="1">
      <alignment horizontal="left"/>
    </xf>
    <xf numFmtId="10" fontId="0" fillId="0" borderId="1" xfId="3" applyNumberFormat="1" applyFont="1" applyBorder="1"/>
    <xf numFmtId="164" fontId="2" fillId="9" borderId="1" xfId="2" applyNumberFormat="1" applyFont="1" applyFill="1" applyBorder="1"/>
    <xf numFmtId="167" fontId="2" fillId="9" borderId="1" xfId="1" applyNumberFormat="1" applyFont="1" applyFill="1" applyBorder="1"/>
    <xf numFmtId="44" fontId="2" fillId="9" borderId="1" xfId="2" applyFont="1" applyFill="1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9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2" xfId="2" applyNumberFormat="1" applyFont="1" applyFill="1" applyBorder="1" applyAlignment="1">
      <alignment horizontal="center"/>
    </xf>
    <xf numFmtId="164" fontId="2" fillId="3" borderId="3" xfId="2" applyNumberFormat="1" applyFont="1" applyFill="1" applyBorder="1" applyAlignment="1">
      <alignment horizontal="center"/>
    </xf>
    <xf numFmtId="164" fontId="2" fillId="3" borderId="0" xfId="2" applyNumberFormat="1" applyFont="1" applyFill="1" applyBorder="1" applyAlignment="1">
      <alignment horizontal="left"/>
    </xf>
  </cellXfs>
  <cellStyles count="4">
    <cellStyle name="Migliaia" xfId="1" builtinId="3"/>
    <cellStyle name="Normale" xfId="0" builtinId="0"/>
    <cellStyle name="Percentuale" xfId="3" builtinId="5"/>
    <cellStyle name="Valuta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D431-B7C0-4240-9745-B48D527EFB38}">
  <dimension ref="A1:AV55"/>
  <sheetViews>
    <sheetView tabSelected="1" topLeftCell="A24" zoomScale="115" zoomScaleNormal="115" workbookViewId="0">
      <selection activeCell="B43" sqref="B43"/>
    </sheetView>
  </sheetViews>
  <sheetFormatPr defaultRowHeight="15" x14ac:dyDescent="0.25"/>
  <cols>
    <col min="1" max="1" width="55.5703125" bestFit="1" customWidth="1"/>
    <col min="2" max="2" width="11" bestFit="1" customWidth="1"/>
    <col min="3" max="3" width="9.42578125" bestFit="1" customWidth="1"/>
    <col min="4" max="4" width="10.42578125" bestFit="1" customWidth="1"/>
    <col min="5" max="6" width="9.42578125" bestFit="1" customWidth="1"/>
    <col min="7" max="7" width="13.42578125" bestFit="1" customWidth="1"/>
    <col min="8" max="15" width="9.42578125" bestFit="1" customWidth="1"/>
    <col min="16" max="16" width="10.5703125" bestFit="1" customWidth="1"/>
    <col min="17" max="42" width="9.42578125" bestFit="1" customWidth="1"/>
    <col min="43" max="47" width="10.42578125" bestFit="1" customWidth="1"/>
  </cols>
  <sheetData>
    <row r="1" spans="1:48" x14ac:dyDescent="0.25">
      <c r="A1" s="11" t="s">
        <v>0</v>
      </c>
      <c r="B1" s="19">
        <v>2025</v>
      </c>
      <c r="C1" s="19">
        <v>2026</v>
      </c>
      <c r="D1" s="19">
        <v>2027</v>
      </c>
      <c r="E1" s="19">
        <v>2028</v>
      </c>
      <c r="F1" s="19">
        <v>2029</v>
      </c>
      <c r="G1" s="19">
        <v>2030</v>
      </c>
      <c r="H1" s="19">
        <v>2031</v>
      </c>
      <c r="I1" s="19">
        <v>2032</v>
      </c>
      <c r="J1" s="19">
        <v>2033</v>
      </c>
      <c r="K1" s="19">
        <v>2034</v>
      </c>
      <c r="L1" s="19">
        <v>2035</v>
      </c>
      <c r="M1" s="19">
        <v>2036</v>
      </c>
      <c r="N1" s="19">
        <v>2037</v>
      </c>
      <c r="O1" s="19">
        <v>2038</v>
      </c>
      <c r="P1" s="19">
        <v>2039</v>
      </c>
      <c r="Q1" s="19">
        <v>2040</v>
      </c>
      <c r="R1" s="19">
        <v>2041</v>
      </c>
      <c r="S1" s="20">
        <v>2042</v>
      </c>
      <c r="T1" s="20">
        <v>2043</v>
      </c>
      <c r="U1" s="20">
        <v>2044</v>
      </c>
      <c r="V1" s="20">
        <v>2045</v>
      </c>
      <c r="W1" s="20">
        <v>2046</v>
      </c>
      <c r="X1" s="20">
        <v>2047</v>
      </c>
      <c r="Y1" s="20">
        <v>2048</v>
      </c>
      <c r="Z1" s="20">
        <v>2049</v>
      </c>
      <c r="AA1" s="20">
        <v>2050</v>
      </c>
      <c r="AB1" s="20">
        <v>2051</v>
      </c>
      <c r="AC1" s="20">
        <v>2052</v>
      </c>
      <c r="AD1" s="20">
        <v>2053</v>
      </c>
      <c r="AE1" s="20">
        <v>2054</v>
      </c>
      <c r="AF1" s="20">
        <v>2055</v>
      </c>
      <c r="AG1" s="20">
        <v>2056</v>
      </c>
      <c r="AH1" s="20">
        <v>2057</v>
      </c>
      <c r="AI1" s="20">
        <v>2058</v>
      </c>
      <c r="AJ1" s="20">
        <v>2059</v>
      </c>
      <c r="AK1" s="20">
        <v>2060</v>
      </c>
      <c r="AL1" s="20">
        <v>2061</v>
      </c>
      <c r="AM1" s="20">
        <v>2062</v>
      </c>
      <c r="AN1" s="20">
        <v>2063</v>
      </c>
      <c r="AO1" s="20">
        <v>2064</v>
      </c>
      <c r="AP1" s="20">
        <v>2065</v>
      </c>
      <c r="AQ1" s="20">
        <v>2066</v>
      </c>
      <c r="AR1" s="20">
        <v>2067</v>
      </c>
      <c r="AS1" s="20">
        <v>2068</v>
      </c>
      <c r="AT1" s="20">
        <v>2069</v>
      </c>
      <c r="AU1" s="20">
        <v>2070</v>
      </c>
    </row>
    <row r="2" spans="1:48" x14ac:dyDescent="0.25">
      <c r="A2" s="11" t="s">
        <v>23</v>
      </c>
      <c r="B2" s="8">
        <f t="shared" ref="B2:AU2" ca="1" si="0">IF((B1 - YEAR(TODAY()))&lt;15,0,$B$41)</f>
        <v>0</v>
      </c>
      <c r="C2" s="8">
        <f t="shared" ca="1" si="0"/>
        <v>0</v>
      </c>
      <c r="D2" s="8">
        <f t="shared" ca="1" si="0"/>
        <v>0</v>
      </c>
      <c r="E2" s="8">
        <f t="shared" ca="1" si="0"/>
        <v>0</v>
      </c>
      <c r="F2" s="8">
        <f t="shared" ca="1" si="0"/>
        <v>0</v>
      </c>
      <c r="G2" s="8">
        <f t="shared" ca="1" si="0"/>
        <v>0</v>
      </c>
      <c r="H2" s="8">
        <f t="shared" ca="1" si="0"/>
        <v>0</v>
      </c>
      <c r="I2" s="8">
        <f t="shared" ca="1" si="0"/>
        <v>0</v>
      </c>
      <c r="J2" s="8">
        <f t="shared" ca="1" si="0"/>
        <v>0</v>
      </c>
      <c r="K2" s="8">
        <f t="shared" ca="1" si="0"/>
        <v>0</v>
      </c>
      <c r="L2" s="8">
        <f t="shared" ca="1" si="0"/>
        <v>0</v>
      </c>
      <c r="M2" s="8">
        <f t="shared" ca="1" si="0"/>
        <v>0</v>
      </c>
      <c r="N2" s="8">
        <f t="shared" ca="1" si="0"/>
        <v>0</v>
      </c>
      <c r="O2" s="8">
        <f t="shared" ca="1" si="0"/>
        <v>0</v>
      </c>
      <c r="P2" s="8">
        <f t="shared" ca="1" si="0"/>
        <v>0</v>
      </c>
      <c r="Q2" s="8">
        <f t="shared" ca="1" si="0"/>
        <v>3.0000000000000001E-3</v>
      </c>
      <c r="R2" s="8">
        <f t="shared" ca="1" si="0"/>
        <v>3.0000000000000001E-3</v>
      </c>
      <c r="S2" s="8">
        <f t="shared" ca="1" si="0"/>
        <v>3.0000000000000001E-3</v>
      </c>
      <c r="T2" s="8">
        <f t="shared" ca="1" si="0"/>
        <v>3.0000000000000001E-3</v>
      </c>
      <c r="U2" s="8">
        <f t="shared" ca="1" si="0"/>
        <v>3.0000000000000001E-3</v>
      </c>
      <c r="V2" s="8">
        <f t="shared" ca="1" si="0"/>
        <v>3.0000000000000001E-3</v>
      </c>
      <c r="W2" s="8">
        <f t="shared" ca="1" si="0"/>
        <v>3.0000000000000001E-3</v>
      </c>
      <c r="X2" s="8">
        <f t="shared" ca="1" si="0"/>
        <v>3.0000000000000001E-3</v>
      </c>
      <c r="Y2" s="8">
        <f t="shared" ca="1" si="0"/>
        <v>3.0000000000000001E-3</v>
      </c>
      <c r="Z2" s="8">
        <f t="shared" ca="1" si="0"/>
        <v>3.0000000000000001E-3</v>
      </c>
      <c r="AA2" s="8">
        <f t="shared" ca="1" si="0"/>
        <v>3.0000000000000001E-3</v>
      </c>
      <c r="AB2" s="8">
        <f t="shared" ca="1" si="0"/>
        <v>3.0000000000000001E-3</v>
      </c>
      <c r="AC2" s="8">
        <f t="shared" ca="1" si="0"/>
        <v>3.0000000000000001E-3</v>
      </c>
      <c r="AD2" s="8">
        <f t="shared" ca="1" si="0"/>
        <v>3.0000000000000001E-3</v>
      </c>
      <c r="AE2" s="8">
        <f t="shared" ca="1" si="0"/>
        <v>3.0000000000000001E-3</v>
      </c>
      <c r="AF2" s="8">
        <f t="shared" ca="1" si="0"/>
        <v>3.0000000000000001E-3</v>
      </c>
      <c r="AG2" s="8">
        <f t="shared" ca="1" si="0"/>
        <v>3.0000000000000001E-3</v>
      </c>
      <c r="AH2" s="8">
        <f t="shared" ca="1" si="0"/>
        <v>3.0000000000000001E-3</v>
      </c>
      <c r="AI2" s="8">
        <f t="shared" ca="1" si="0"/>
        <v>3.0000000000000001E-3</v>
      </c>
      <c r="AJ2" s="8">
        <f t="shared" ca="1" si="0"/>
        <v>3.0000000000000001E-3</v>
      </c>
      <c r="AK2" s="8">
        <f t="shared" ca="1" si="0"/>
        <v>3.0000000000000001E-3</v>
      </c>
      <c r="AL2" s="8">
        <f t="shared" ca="1" si="0"/>
        <v>3.0000000000000001E-3</v>
      </c>
      <c r="AM2" s="8">
        <f t="shared" ca="1" si="0"/>
        <v>3.0000000000000001E-3</v>
      </c>
      <c r="AN2" s="8">
        <f t="shared" ca="1" si="0"/>
        <v>3.0000000000000001E-3</v>
      </c>
      <c r="AO2" s="8">
        <f t="shared" ca="1" si="0"/>
        <v>3.0000000000000001E-3</v>
      </c>
      <c r="AP2" s="8">
        <f t="shared" ca="1" si="0"/>
        <v>3.0000000000000001E-3</v>
      </c>
      <c r="AQ2" s="8">
        <f t="shared" ca="1" si="0"/>
        <v>3.0000000000000001E-3</v>
      </c>
      <c r="AR2" s="8">
        <f t="shared" ca="1" si="0"/>
        <v>3.0000000000000001E-3</v>
      </c>
      <c r="AS2" s="8">
        <f t="shared" ca="1" si="0"/>
        <v>3.0000000000000001E-3</v>
      </c>
      <c r="AT2" s="8">
        <f t="shared" ca="1" si="0"/>
        <v>3.0000000000000001E-3</v>
      </c>
      <c r="AU2" s="8">
        <f t="shared" ca="1" si="0"/>
        <v>3.0000000000000001E-3</v>
      </c>
      <c r="AV2" s="8"/>
    </row>
    <row r="3" spans="1:48" x14ac:dyDescent="0.25">
      <c r="A3" s="12" t="s">
        <v>21</v>
      </c>
      <c r="B3" s="9">
        <f>B45</f>
        <v>0</v>
      </c>
      <c r="C3" s="9">
        <f t="shared" ref="C3:AU3" si="1">B3+($B$48*B3)</f>
        <v>0</v>
      </c>
      <c r="D3" s="9">
        <f t="shared" si="1"/>
        <v>0</v>
      </c>
      <c r="E3" s="9">
        <f t="shared" si="1"/>
        <v>0</v>
      </c>
      <c r="F3" s="9">
        <f t="shared" si="1"/>
        <v>0</v>
      </c>
      <c r="G3" s="9">
        <f t="shared" si="1"/>
        <v>0</v>
      </c>
      <c r="H3" s="9">
        <f t="shared" si="1"/>
        <v>0</v>
      </c>
      <c r="I3" s="9">
        <f t="shared" si="1"/>
        <v>0</v>
      </c>
      <c r="J3" s="9">
        <f t="shared" si="1"/>
        <v>0</v>
      </c>
      <c r="K3" s="9">
        <f t="shared" si="1"/>
        <v>0</v>
      </c>
      <c r="L3" s="9">
        <f t="shared" si="1"/>
        <v>0</v>
      </c>
      <c r="M3" s="9">
        <f t="shared" si="1"/>
        <v>0</v>
      </c>
      <c r="N3" s="9">
        <f t="shared" si="1"/>
        <v>0</v>
      </c>
      <c r="O3" s="9">
        <f t="shared" si="1"/>
        <v>0</v>
      </c>
      <c r="P3" s="9">
        <f t="shared" si="1"/>
        <v>0</v>
      </c>
      <c r="Q3" s="9">
        <f t="shared" si="1"/>
        <v>0</v>
      </c>
      <c r="R3" s="9">
        <f t="shared" si="1"/>
        <v>0</v>
      </c>
      <c r="S3" s="9">
        <f t="shared" si="1"/>
        <v>0</v>
      </c>
      <c r="T3" s="9">
        <f t="shared" si="1"/>
        <v>0</v>
      </c>
      <c r="U3" s="9">
        <f t="shared" si="1"/>
        <v>0</v>
      </c>
      <c r="V3" s="9">
        <f t="shared" si="1"/>
        <v>0</v>
      </c>
      <c r="W3" s="9">
        <f t="shared" si="1"/>
        <v>0</v>
      </c>
      <c r="X3" s="9">
        <f t="shared" si="1"/>
        <v>0</v>
      </c>
      <c r="Y3" s="9">
        <f t="shared" si="1"/>
        <v>0</v>
      </c>
      <c r="Z3" s="9">
        <f t="shared" si="1"/>
        <v>0</v>
      </c>
      <c r="AA3" s="9">
        <f t="shared" si="1"/>
        <v>0</v>
      </c>
      <c r="AB3" s="9">
        <f t="shared" si="1"/>
        <v>0</v>
      </c>
      <c r="AC3" s="9">
        <f t="shared" si="1"/>
        <v>0</v>
      </c>
      <c r="AD3" s="9">
        <f t="shared" si="1"/>
        <v>0</v>
      </c>
      <c r="AE3" s="9">
        <f t="shared" si="1"/>
        <v>0</v>
      </c>
      <c r="AF3" s="9">
        <f t="shared" si="1"/>
        <v>0</v>
      </c>
      <c r="AG3" s="9">
        <f t="shared" si="1"/>
        <v>0</v>
      </c>
      <c r="AH3" s="9">
        <f t="shared" si="1"/>
        <v>0</v>
      </c>
      <c r="AI3" s="9">
        <f t="shared" si="1"/>
        <v>0</v>
      </c>
      <c r="AJ3" s="9">
        <f t="shared" si="1"/>
        <v>0</v>
      </c>
      <c r="AK3" s="9">
        <f t="shared" si="1"/>
        <v>0</v>
      </c>
      <c r="AL3" s="9">
        <f t="shared" si="1"/>
        <v>0</v>
      </c>
      <c r="AM3" s="9">
        <f t="shared" si="1"/>
        <v>0</v>
      </c>
      <c r="AN3" s="9">
        <f t="shared" si="1"/>
        <v>0</v>
      </c>
      <c r="AO3" s="9">
        <f t="shared" si="1"/>
        <v>0</v>
      </c>
      <c r="AP3" s="9">
        <f t="shared" si="1"/>
        <v>0</v>
      </c>
      <c r="AQ3" s="9">
        <f t="shared" si="1"/>
        <v>0</v>
      </c>
      <c r="AR3" s="9">
        <f t="shared" si="1"/>
        <v>0</v>
      </c>
      <c r="AS3" s="9">
        <f t="shared" si="1"/>
        <v>0</v>
      </c>
      <c r="AT3" s="9">
        <f t="shared" si="1"/>
        <v>0</v>
      </c>
      <c r="AU3" s="9">
        <f t="shared" si="1"/>
        <v>0</v>
      </c>
    </row>
    <row r="4" spans="1:48" x14ac:dyDescent="0.25">
      <c r="A4" s="12" t="s">
        <v>2</v>
      </c>
      <c r="B4" s="9">
        <f t="shared" ref="B4:AU4" si="2">$E$39+$F$39+(IF((B3-$E$37-$F$37)&gt;0,(B3-$E$37-$F$37)*$G$38,0))</f>
        <v>0</v>
      </c>
      <c r="C4" s="9">
        <f t="shared" si="2"/>
        <v>0</v>
      </c>
      <c r="D4" s="9">
        <f t="shared" si="2"/>
        <v>0</v>
      </c>
      <c r="E4" s="9">
        <f t="shared" si="2"/>
        <v>0</v>
      </c>
      <c r="F4" s="9">
        <f t="shared" si="2"/>
        <v>0</v>
      </c>
      <c r="G4" s="9">
        <f t="shared" si="2"/>
        <v>0</v>
      </c>
      <c r="H4" s="9">
        <f t="shared" si="2"/>
        <v>0</v>
      </c>
      <c r="I4" s="9">
        <f t="shared" si="2"/>
        <v>0</v>
      </c>
      <c r="J4" s="9">
        <f t="shared" si="2"/>
        <v>0</v>
      </c>
      <c r="K4" s="9">
        <f t="shared" si="2"/>
        <v>0</v>
      </c>
      <c r="L4" s="9">
        <f t="shared" si="2"/>
        <v>0</v>
      </c>
      <c r="M4" s="9">
        <f t="shared" si="2"/>
        <v>0</v>
      </c>
      <c r="N4" s="9">
        <f t="shared" si="2"/>
        <v>0</v>
      </c>
      <c r="O4" s="9">
        <f t="shared" si="2"/>
        <v>0</v>
      </c>
      <c r="P4" s="9">
        <f t="shared" si="2"/>
        <v>0</v>
      </c>
      <c r="Q4" s="9">
        <f t="shared" si="2"/>
        <v>0</v>
      </c>
      <c r="R4" s="9">
        <f t="shared" si="2"/>
        <v>0</v>
      </c>
      <c r="S4" s="9">
        <f t="shared" si="2"/>
        <v>0</v>
      </c>
      <c r="T4" s="9">
        <f t="shared" si="2"/>
        <v>0</v>
      </c>
      <c r="U4" s="9">
        <f t="shared" si="2"/>
        <v>0</v>
      </c>
      <c r="V4" s="9">
        <f t="shared" si="2"/>
        <v>0</v>
      </c>
      <c r="W4" s="9">
        <f t="shared" si="2"/>
        <v>0</v>
      </c>
      <c r="X4" s="9">
        <f t="shared" si="2"/>
        <v>0</v>
      </c>
      <c r="Y4" s="9">
        <f t="shared" si="2"/>
        <v>0</v>
      </c>
      <c r="Z4" s="9">
        <f t="shared" si="2"/>
        <v>0</v>
      </c>
      <c r="AA4" s="9">
        <f t="shared" si="2"/>
        <v>0</v>
      </c>
      <c r="AB4" s="9">
        <f t="shared" si="2"/>
        <v>0</v>
      </c>
      <c r="AC4" s="9">
        <f t="shared" si="2"/>
        <v>0</v>
      </c>
      <c r="AD4" s="9">
        <f t="shared" si="2"/>
        <v>0</v>
      </c>
      <c r="AE4" s="9">
        <f t="shared" si="2"/>
        <v>0</v>
      </c>
      <c r="AF4" s="9">
        <f t="shared" si="2"/>
        <v>0</v>
      </c>
      <c r="AG4" s="9">
        <f t="shared" si="2"/>
        <v>0</v>
      </c>
      <c r="AH4" s="9">
        <f t="shared" si="2"/>
        <v>0</v>
      </c>
      <c r="AI4" s="9">
        <f t="shared" si="2"/>
        <v>0</v>
      </c>
      <c r="AJ4" s="9">
        <f t="shared" si="2"/>
        <v>0</v>
      </c>
      <c r="AK4" s="9">
        <f t="shared" si="2"/>
        <v>0</v>
      </c>
      <c r="AL4" s="9">
        <f t="shared" si="2"/>
        <v>0</v>
      </c>
      <c r="AM4" s="9">
        <f t="shared" si="2"/>
        <v>0</v>
      </c>
      <c r="AN4" s="9">
        <f t="shared" si="2"/>
        <v>0</v>
      </c>
      <c r="AO4" s="9">
        <f t="shared" si="2"/>
        <v>0</v>
      </c>
      <c r="AP4" s="9">
        <f t="shared" si="2"/>
        <v>0</v>
      </c>
      <c r="AQ4" s="9">
        <f t="shared" si="2"/>
        <v>0</v>
      </c>
      <c r="AR4" s="9">
        <f t="shared" si="2"/>
        <v>0</v>
      </c>
      <c r="AS4" s="9">
        <f t="shared" si="2"/>
        <v>0</v>
      </c>
      <c r="AT4" s="9">
        <f t="shared" si="2"/>
        <v>0</v>
      </c>
      <c r="AU4" s="9">
        <f t="shared" si="2"/>
        <v>0</v>
      </c>
    </row>
    <row r="5" spans="1:48" x14ac:dyDescent="0.25">
      <c r="A5" s="12" t="s">
        <v>15</v>
      </c>
      <c r="B5" s="9">
        <f t="shared" ref="B5:U5" si="3">B3-B10</f>
        <v>0</v>
      </c>
      <c r="C5" s="9">
        <f t="shared" si="3"/>
        <v>0</v>
      </c>
      <c r="D5" s="9">
        <f t="shared" si="3"/>
        <v>0</v>
      </c>
      <c r="E5" s="9">
        <f t="shared" si="3"/>
        <v>0</v>
      </c>
      <c r="F5" s="9">
        <f t="shared" si="3"/>
        <v>0</v>
      </c>
      <c r="G5" s="9">
        <f t="shared" si="3"/>
        <v>0</v>
      </c>
      <c r="H5" s="9">
        <f t="shared" si="3"/>
        <v>0</v>
      </c>
      <c r="I5" s="9">
        <f t="shared" si="3"/>
        <v>0</v>
      </c>
      <c r="J5" s="9">
        <f t="shared" si="3"/>
        <v>0</v>
      </c>
      <c r="K5" s="9">
        <f t="shared" si="3"/>
        <v>0</v>
      </c>
      <c r="L5" s="9">
        <f t="shared" si="3"/>
        <v>0</v>
      </c>
      <c r="M5" s="9">
        <f t="shared" si="3"/>
        <v>0</v>
      </c>
      <c r="N5" s="9">
        <f t="shared" si="3"/>
        <v>0</v>
      </c>
      <c r="O5" s="9">
        <f t="shared" si="3"/>
        <v>0</v>
      </c>
      <c r="P5" s="9">
        <f t="shared" si="3"/>
        <v>0</v>
      </c>
      <c r="Q5" s="9">
        <f t="shared" si="3"/>
        <v>0</v>
      </c>
      <c r="R5" s="9">
        <f t="shared" si="3"/>
        <v>0</v>
      </c>
      <c r="S5" s="9">
        <f t="shared" si="3"/>
        <v>0</v>
      </c>
      <c r="T5" s="9">
        <f t="shared" si="3"/>
        <v>0</v>
      </c>
      <c r="U5" s="9">
        <f t="shared" si="3"/>
        <v>0</v>
      </c>
      <c r="V5" s="9">
        <f t="shared" ref="V5:AU5" si="4">V3-V10</f>
        <v>0</v>
      </c>
      <c r="W5" s="9">
        <f t="shared" si="4"/>
        <v>0</v>
      </c>
      <c r="X5" s="9">
        <f t="shared" si="4"/>
        <v>0</v>
      </c>
      <c r="Y5" s="9">
        <f t="shared" si="4"/>
        <v>0</v>
      </c>
      <c r="Z5" s="9">
        <f t="shared" si="4"/>
        <v>0</v>
      </c>
      <c r="AA5" s="9">
        <f t="shared" si="4"/>
        <v>0</v>
      </c>
      <c r="AB5" s="9">
        <f t="shared" si="4"/>
        <v>0</v>
      </c>
      <c r="AC5" s="9">
        <f t="shared" si="4"/>
        <v>0</v>
      </c>
      <c r="AD5" s="9">
        <f t="shared" si="4"/>
        <v>0</v>
      </c>
      <c r="AE5" s="9">
        <f t="shared" si="4"/>
        <v>0</v>
      </c>
      <c r="AF5" s="9">
        <f t="shared" si="4"/>
        <v>0</v>
      </c>
      <c r="AG5" s="9">
        <f t="shared" si="4"/>
        <v>0</v>
      </c>
      <c r="AH5" s="9">
        <f t="shared" si="4"/>
        <v>0</v>
      </c>
      <c r="AI5" s="9">
        <f t="shared" si="4"/>
        <v>0</v>
      </c>
      <c r="AJ5" s="9">
        <f t="shared" si="4"/>
        <v>0</v>
      </c>
      <c r="AK5" s="9">
        <f t="shared" si="4"/>
        <v>0</v>
      </c>
      <c r="AL5" s="9">
        <f t="shared" si="4"/>
        <v>0</v>
      </c>
      <c r="AM5" s="9">
        <f t="shared" si="4"/>
        <v>0</v>
      </c>
      <c r="AN5" s="9">
        <f t="shared" si="4"/>
        <v>0</v>
      </c>
      <c r="AO5" s="9">
        <f t="shared" si="4"/>
        <v>0</v>
      </c>
      <c r="AP5" s="9">
        <f t="shared" si="4"/>
        <v>0</v>
      </c>
      <c r="AQ5" s="9">
        <f t="shared" si="4"/>
        <v>0</v>
      </c>
      <c r="AR5" s="9">
        <f t="shared" si="4"/>
        <v>0</v>
      </c>
      <c r="AS5" s="9">
        <f t="shared" si="4"/>
        <v>0</v>
      </c>
      <c r="AT5" s="9">
        <f t="shared" si="4"/>
        <v>0</v>
      </c>
      <c r="AU5" s="9">
        <f t="shared" si="4"/>
        <v>0</v>
      </c>
    </row>
    <row r="6" spans="1:48" x14ac:dyDescent="0.25">
      <c r="A6" s="12" t="s">
        <v>16</v>
      </c>
      <c r="B6" s="9">
        <f t="shared" ref="B6:AU6" si="5">MAX(0,MIN(B5,$B$37))*$C$37 + MAX(0,MIN(B5,$B$38)-$B$37)*$C$38 + MAX(0,MIN(B5,$B$39)-$B$38)*$C$10 + MAX(0,B5-$B$39)*$C$39</f>
        <v>0</v>
      </c>
      <c r="C6" s="9">
        <f t="shared" si="5"/>
        <v>0</v>
      </c>
      <c r="D6" s="9">
        <f t="shared" si="5"/>
        <v>0</v>
      </c>
      <c r="E6" s="9">
        <f t="shared" si="5"/>
        <v>0</v>
      </c>
      <c r="F6" s="9">
        <f t="shared" si="5"/>
        <v>0</v>
      </c>
      <c r="G6" s="9">
        <f t="shared" si="5"/>
        <v>0</v>
      </c>
      <c r="H6" s="9">
        <f t="shared" si="5"/>
        <v>0</v>
      </c>
      <c r="I6" s="9">
        <f t="shared" si="5"/>
        <v>0</v>
      </c>
      <c r="J6" s="9">
        <f t="shared" si="5"/>
        <v>0</v>
      </c>
      <c r="K6" s="9">
        <f t="shared" si="5"/>
        <v>0</v>
      </c>
      <c r="L6" s="9">
        <f t="shared" si="5"/>
        <v>0</v>
      </c>
      <c r="M6" s="9">
        <f t="shared" si="5"/>
        <v>0</v>
      </c>
      <c r="N6" s="9">
        <f t="shared" si="5"/>
        <v>0</v>
      </c>
      <c r="O6" s="9">
        <f t="shared" si="5"/>
        <v>0</v>
      </c>
      <c r="P6" s="9">
        <f t="shared" si="5"/>
        <v>0</v>
      </c>
      <c r="Q6" s="9">
        <f t="shared" si="5"/>
        <v>0</v>
      </c>
      <c r="R6" s="9">
        <f t="shared" si="5"/>
        <v>0</v>
      </c>
      <c r="S6" s="9">
        <f t="shared" si="5"/>
        <v>0</v>
      </c>
      <c r="T6" s="9">
        <f t="shared" si="5"/>
        <v>0</v>
      </c>
      <c r="U6" s="9">
        <f t="shared" si="5"/>
        <v>0</v>
      </c>
      <c r="V6" s="9">
        <f t="shared" si="5"/>
        <v>0</v>
      </c>
      <c r="W6" s="9">
        <f t="shared" si="5"/>
        <v>0</v>
      </c>
      <c r="X6" s="9">
        <f t="shared" si="5"/>
        <v>0</v>
      </c>
      <c r="Y6" s="9">
        <f t="shared" si="5"/>
        <v>0</v>
      </c>
      <c r="Z6" s="9">
        <f t="shared" si="5"/>
        <v>0</v>
      </c>
      <c r="AA6" s="9">
        <f t="shared" si="5"/>
        <v>0</v>
      </c>
      <c r="AB6" s="9">
        <f t="shared" si="5"/>
        <v>0</v>
      </c>
      <c r="AC6" s="9">
        <f t="shared" si="5"/>
        <v>0</v>
      </c>
      <c r="AD6" s="9">
        <f t="shared" si="5"/>
        <v>0</v>
      </c>
      <c r="AE6" s="9">
        <f t="shared" si="5"/>
        <v>0</v>
      </c>
      <c r="AF6" s="9">
        <f t="shared" si="5"/>
        <v>0</v>
      </c>
      <c r="AG6" s="9">
        <f t="shared" si="5"/>
        <v>0</v>
      </c>
      <c r="AH6" s="9">
        <f t="shared" si="5"/>
        <v>0</v>
      </c>
      <c r="AI6" s="9">
        <f t="shared" si="5"/>
        <v>0</v>
      </c>
      <c r="AJ6" s="9">
        <f t="shared" si="5"/>
        <v>0</v>
      </c>
      <c r="AK6" s="9">
        <f t="shared" si="5"/>
        <v>0</v>
      </c>
      <c r="AL6" s="9">
        <f t="shared" si="5"/>
        <v>0</v>
      </c>
      <c r="AM6" s="9">
        <f t="shared" si="5"/>
        <v>0</v>
      </c>
      <c r="AN6" s="9">
        <f t="shared" si="5"/>
        <v>0</v>
      </c>
      <c r="AO6" s="9">
        <f t="shared" si="5"/>
        <v>0</v>
      </c>
      <c r="AP6" s="9">
        <f t="shared" si="5"/>
        <v>0</v>
      </c>
      <c r="AQ6" s="9">
        <f t="shared" si="5"/>
        <v>0</v>
      </c>
      <c r="AR6" s="9">
        <f t="shared" si="5"/>
        <v>0</v>
      </c>
      <c r="AS6" s="9">
        <f t="shared" si="5"/>
        <v>0</v>
      </c>
      <c r="AT6" s="9">
        <f t="shared" si="5"/>
        <v>0</v>
      </c>
      <c r="AU6" s="9">
        <f t="shared" si="5"/>
        <v>0</v>
      </c>
    </row>
    <row r="7" spans="1:48" x14ac:dyDescent="0.25">
      <c r="A7" s="12" t="s">
        <v>67</v>
      </c>
      <c r="B7" s="9">
        <f t="shared" ref="B7:AU7" si="6">B4-B6</f>
        <v>0</v>
      </c>
      <c r="C7" s="9">
        <f t="shared" si="6"/>
        <v>0</v>
      </c>
      <c r="D7" s="9">
        <f t="shared" si="6"/>
        <v>0</v>
      </c>
      <c r="E7" s="9">
        <f t="shared" si="6"/>
        <v>0</v>
      </c>
      <c r="F7" s="9">
        <f t="shared" si="6"/>
        <v>0</v>
      </c>
      <c r="G7" s="9">
        <f t="shared" si="6"/>
        <v>0</v>
      </c>
      <c r="H7" s="9">
        <f t="shared" si="6"/>
        <v>0</v>
      </c>
      <c r="I7" s="9">
        <f t="shared" si="6"/>
        <v>0</v>
      </c>
      <c r="J7" s="9">
        <f t="shared" si="6"/>
        <v>0</v>
      </c>
      <c r="K7" s="9">
        <f t="shared" si="6"/>
        <v>0</v>
      </c>
      <c r="L7" s="9">
        <f t="shared" si="6"/>
        <v>0</v>
      </c>
      <c r="M7" s="9">
        <f t="shared" si="6"/>
        <v>0</v>
      </c>
      <c r="N7" s="9">
        <f t="shared" si="6"/>
        <v>0</v>
      </c>
      <c r="O7" s="9">
        <f t="shared" si="6"/>
        <v>0</v>
      </c>
      <c r="P7" s="9">
        <f t="shared" si="6"/>
        <v>0</v>
      </c>
      <c r="Q7" s="9">
        <f t="shared" si="6"/>
        <v>0</v>
      </c>
      <c r="R7" s="9">
        <f t="shared" si="6"/>
        <v>0</v>
      </c>
      <c r="S7" s="9">
        <f t="shared" si="6"/>
        <v>0</v>
      </c>
      <c r="T7" s="9">
        <f t="shared" si="6"/>
        <v>0</v>
      </c>
      <c r="U7" s="9">
        <f t="shared" si="6"/>
        <v>0</v>
      </c>
      <c r="V7" s="9">
        <f t="shared" si="6"/>
        <v>0</v>
      </c>
      <c r="W7" s="9">
        <f t="shared" si="6"/>
        <v>0</v>
      </c>
      <c r="X7" s="9">
        <f t="shared" si="6"/>
        <v>0</v>
      </c>
      <c r="Y7" s="9">
        <f t="shared" si="6"/>
        <v>0</v>
      </c>
      <c r="Z7" s="9">
        <f t="shared" si="6"/>
        <v>0</v>
      </c>
      <c r="AA7" s="9">
        <f t="shared" si="6"/>
        <v>0</v>
      </c>
      <c r="AB7" s="9">
        <f t="shared" si="6"/>
        <v>0</v>
      </c>
      <c r="AC7" s="9">
        <f t="shared" si="6"/>
        <v>0</v>
      </c>
      <c r="AD7" s="9">
        <f t="shared" si="6"/>
        <v>0</v>
      </c>
      <c r="AE7" s="9">
        <f t="shared" si="6"/>
        <v>0</v>
      </c>
      <c r="AF7" s="9">
        <f t="shared" si="6"/>
        <v>0</v>
      </c>
      <c r="AG7" s="9">
        <f t="shared" si="6"/>
        <v>0</v>
      </c>
      <c r="AH7" s="9">
        <f t="shared" si="6"/>
        <v>0</v>
      </c>
      <c r="AI7" s="9">
        <f t="shared" si="6"/>
        <v>0</v>
      </c>
      <c r="AJ7" s="9">
        <f t="shared" si="6"/>
        <v>0</v>
      </c>
      <c r="AK7" s="9">
        <f t="shared" si="6"/>
        <v>0</v>
      </c>
      <c r="AL7" s="9">
        <f t="shared" si="6"/>
        <v>0</v>
      </c>
      <c r="AM7" s="9">
        <f t="shared" si="6"/>
        <v>0</v>
      </c>
      <c r="AN7" s="9">
        <f t="shared" si="6"/>
        <v>0</v>
      </c>
      <c r="AO7" s="9">
        <f t="shared" si="6"/>
        <v>0</v>
      </c>
      <c r="AP7" s="9">
        <f t="shared" si="6"/>
        <v>0</v>
      </c>
      <c r="AQ7" s="9">
        <f t="shared" si="6"/>
        <v>0</v>
      </c>
      <c r="AR7" s="9">
        <f t="shared" si="6"/>
        <v>0</v>
      </c>
      <c r="AS7" s="9">
        <f t="shared" si="6"/>
        <v>0</v>
      </c>
      <c r="AT7" s="9">
        <f t="shared" si="6"/>
        <v>0</v>
      </c>
      <c r="AU7" s="9">
        <f t="shared" si="6"/>
        <v>0</v>
      </c>
    </row>
    <row r="8" spans="1:48" x14ac:dyDescent="0.25">
      <c r="A8" s="12" t="s">
        <v>68</v>
      </c>
      <c r="B8" s="9">
        <f>B7</f>
        <v>0</v>
      </c>
      <c r="C8" s="9">
        <f>$B$8/(1.02)</f>
        <v>0</v>
      </c>
      <c r="D8" s="9">
        <f>$B$8/(1.02^2)</f>
        <v>0</v>
      </c>
      <c r="E8" s="9">
        <f>$B$8/(1.02^3)</f>
        <v>0</v>
      </c>
      <c r="F8" s="9">
        <f>$B$8/(1.02^4)</f>
        <v>0</v>
      </c>
      <c r="G8" s="9">
        <f>$B$8/(1.02^5)</f>
        <v>0</v>
      </c>
      <c r="H8" s="9">
        <f>$B$8/(1.02^6)</f>
        <v>0</v>
      </c>
      <c r="I8" s="9">
        <f>$B$8/(1.02^7)</f>
        <v>0</v>
      </c>
      <c r="J8" s="9">
        <f>$B$8/(1.02^8)</f>
        <v>0</v>
      </c>
      <c r="K8" s="9">
        <f>$B$8/(1.02^9)</f>
        <v>0</v>
      </c>
      <c r="L8" s="9">
        <f>$B$8/(1.02^10)</f>
        <v>0</v>
      </c>
      <c r="M8" s="9">
        <f>$B$8/(1.02^11)</f>
        <v>0</v>
      </c>
      <c r="N8" s="9">
        <f>$B$8/(1.02^12)</f>
        <v>0</v>
      </c>
      <c r="O8" s="9">
        <f>$B$8/(1.02^13)</f>
        <v>0</v>
      </c>
      <c r="P8" s="9">
        <f>$B$8/(1.02^14)</f>
        <v>0</v>
      </c>
      <c r="Q8" s="9">
        <f>$B$8/(1.02^15)</f>
        <v>0</v>
      </c>
      <c r="R8" s="9">
        <f>$B$8/(1.02^16)</f>
        <v>0</v>
      </c>
      <c r="S8" s="9">
        <f>$B$8/(1.02^17)</f>
        <v>0</v>
      </c>
      <c r="T8" s="9">
        <f>$B$8/(1.02^18)</f>
        <v>0</v>
      </c>
      <c r="U8" s="9">
        <f>$B$8/(1.02^19)</f>
        <v>0</v>
      </c>
      <c r="V8" s="9">
        <f>$B$8/(1.02^20)</f>
        <v>0</v>
      </c>
      <c r="W8" s="9">
        <f>$B$8/(1.02^21)</f>
        <v>0</v>
      </c>
      <c r="X8" s="9">
        <f>$B$8/(1.02^22)</f>
        <v>0</v>
      </c>
      <c r="Y8" s="9">
        <f>$B$8/(1.02^23)</f>
        <v>0</v>
      </c>
      <c r="Z8" s="9">
        <f>$B$8/(1.02^24)</f>
        <v>0</v>
      </c>
      <c r="AA8" s="9">
        <f>$B$8/(1.02^25)</f>
        <v>0</v>
      </c>
      <c r="AB8" s="9">
        <f>$B$8/(1.02^26)</f>
        <v>0</v>
      </c>
      <c r="AC8" s="9">
        <f>$B$8/(1.02^27)</f>
        <v>0</v>
      </c>
      <c r="AD8" s="9">
        <f>$B$8/(1.02^28)</f>
        <v>0</v>
      </c>
      <c r="AE8" s="9">
        <f>$B$8/(1.02^29)</f>
        <v>0</v>
      </c>
      <c r="AF8" s="9">
        <f>$B$8/(1.02^30)</f>
        <v>0</v>
      </c>
      <c r="AG8" s="9">
        <f>$B$8/(1.02^31)</f>
        <v>0</v>
      </c>
      <c r="AH8" s="9">
        <f>$B$8/(1.02^32)</f>
        <v>0</v>
      </c>
      <c r="AI8" s="9">
        <f>$B$8/(1.02^33)</f>
        <v>0</v>
      </c>
      <c r="AJ8" s="9">
        <f>$B$8/(1.02^34)</f>
        <v>0</v>
      </c>
      <c r="AK8" s="9">
        <f>$B$8/(1.02^35)</f>
        <v>0</v>
      </c>
      <c r="AL8" s="9">
        <f>$B$8/(1.02^36)</f>
        <v>0</v>
      </c>
      <c r="AM8" s="9">
        <f>$B$8/(1.02^37)</f>
        <v>0</v>
      </c>
      <c r="AN8" s="9">
        <f>$B$8/(1.02^38)</f>
        <v>0</v>
      </c>
      <c r="AO8" s="9">
        <f>$B$8/(1.02^39)</f>
        <v>0</v>
      </c>
      <c r="AP8" s="9">
        <f>$B$8/(1.02^40)</f>
        <v>0</v>
      </c>
      <c r="AQ8" s="9">
        <f>$B$8/(1.02^41)</f>
        <v>0</v>
      </c>
      <c r="AR8" s="9">
        <f>$B$8/(1.02^42)</f>
        <v>0</v>
      </c>
      <c r="AS8" s="9">
        <f>$B$8/(1.02^43)</f>
        <v>0</v>
      </c>
      <c r="AT8" s="9">
        <f>$B$8/(1.02^44)</f>
        <v>0</v>
      </c>
      <c r="AU8" s="9">
        <f>$B$8/(1.02^45)</f>
        <v>0</v>
      </c>
    </row>
    <row r="9" spans="1:48" x14ac:dyDescent="0.25">
      <c r="A9" s="13" t="s">
        <v>1</v>
      </c>
      <c r="B9" s="9">
        <f t="shared" ref="B9:AU9" si="7">IF($B$53="SI",B3/$B$43,0)</f>
        <v>0</v>
      </c>
      <c r="C9" s="9">
        <f t="shared" si="7"/>
        <v>0</v>
      </c>
      <c r="D9" s="9">
        <f t="shared" si="7"/>
        <v>0</v>
      </c>
      <c r="E9" s="9">
        <f t="shared" si="7"/>
        <v>0</v>
      </c>
      <c r="F9" s="9">
        <f t="shared" si="7"/>
        <v>0</v>
      </c>
      <c r="G9" s="9">
        <f t="shared" si="7"/>
        <v>0</v>
      </c>
      <c r="H9" s="9">
        <f t="shared" si="7"/>
        <v>0</v>
      </c>
      <c r="I9" s="9">
        <f t="shared" si="7"/>
        <v>0</v>
      </c>
      <c r="J9" s="9">
        <f t="shared" si="7"/>
        <v>0</v>
      </c>
      <c r="K9" s="9">
        <f t="shared" si="7"/>
        <v>0</v>
      </c>
      <c r="L9" s="9">
        <f t="shared" si="7"/>
        <v>0</v>
      </c>
      <c r="M9" s="9">
        <f t="shared" si="7"/>
        <v>0</v>
      </c>
      <c r="N9" s="9">
        <f t="shared" si="7"/>
        <v>0</v>
      </c>
      <c r="O9" s="9">
        <f t="shared" si="7"/>
        <v>0</v>
      </c>
      <c r="P9" s="9">
        <f t="shared" si="7"/>
        <v>0</v>
      </c>
      <c r="Q9" s="9">
        <f t="shared" si="7"/>
        <v>0</v>
      </c>
      <c r="R9" s="9">
        <f t="shared" si="7"/>
        <v>0</v>
      </c>
      <c r="S9" s="9">
        <f t="shared" si="7"/>
        <v>0</v>
      </c>
      <c r="T9" s="9">
        <f t="shared" si="7"/>
        <v>0</v>
      </c>
      <c r="U9" s="9">
        <f t="shared" si="7"/>
        <v>0</v>
      </c>
      <c r="V9" s="9">
        <f t="shared" si="7"/>
        <v>0</v>
      </c>
      <c r="W9" s="9">
        <f t="shared" si="7"/>
        <v>0</v>
      </c>
      <c r="X9" s="9">
        <f t="shared" si="7"/>
        <v>0</v>
      </c>
      <c r="Y9" s="9">
        <f t="shared" si="7"/>
        <v>0</v>
      </c>
      <c r="Z9" s="9">
        <f t="shared" si="7"/>
        <v>0</v>
      </c>
      <c r="AA9" s="9">
        <f t="shared" si="7"/>
        <v>0</v>
      </c>
      <c r="AB9" s="9">
        <f t="shared" si="7"/>
        <v>0</v>
      </c>
      <c r="AC9" s="9">
        <f t="shared" si="7"/>
        <v>0</v>
      </c>
      <c r="AD9" s="9">
        <f t="shared" si="7"/>
        <v>0</v>
      </c>
      <c r="AE9" s="9">
        <f t="shared" si="7"/>
        <v>0</v>
      </c>
      <c r="AF9" s="9">
        <f t="shared" si="7"/>
        <v>0</v>
      </c>
      <c r="AG9" s="9">
        <f t="shared" si="7"/>
        <v>0</v>
      </c>
      <c r="AH9" s="9">
        <f t="shared" si="7"/>
        <v>0</v>
      </c>
      <c r="AI9" s="9">
        <f t="shared" si="7"/>
        <v>0</v>
      </c>
      <c r="AJ9" s="9">
        <f t="shared" si="7"/>
        <v>0</v>
      </c>
      <c r="AK9" s="9">
        <f t="shared" si="7"/>
        <v>0</v>
      </c>
      <c r="AL9" s="9">
        <f t="shared" si="7"/>
        <v>0</v>
      </c>
      <c r="AM9" s="9">
        <f t="shared" si="7"/>
        <v>0</v>
      </c>
      <c r="AN9" s="9">
        <f t="shared" si="7"/>
        <v>0</v>
      </c>
      <c r="AO9" s="9">
        <f t="shared" si="7"/>
        <v>0</v>
      </c>
      <c r="AP9" s="9">
        <f t="shared" si="7"/>
        <v>0</v>
      </c>
      <c r="AQ9" s="9">
        <f t="shared" si="7"/>
        <v>0</v>
      </c>
      <c r="AR9" s="9">
        <f t="shared" si="7"/>
        <v>0</v>
      </c>
      <c r="AS9" s="9">
        <f t="shared" si="7"/>
        <v>0</v>
      </c>
      <c r="AT9" s="9">
        <f t="shared" si="7"/>
        <v>0</v>
      </c>
      <c r="AU9" s="9">
        <f t="shared" si="7"/>
        <v>0</v>
      </c>
    </row>
    <row r="10" spans="1:48" x14ac:dyDescent="0.25">
      <c r="A10" s="13" t="s">
        <v>40</v>
      </c>
      <c r="B10" s="9">
        <f t="shared" ref="B10:AU10" si="8">IF($B$54="SI",$B$47,0)</f>
        <v>0</v>
      </c>
      <c r="C10" s="9">
        <f t="shared" si="8"/>
        <v>0</v>
      </c>
      <c r="D10" s="9">
        <f t="shared" si="8"/>
        <v>0</v>
      </c>
      <c r="E10" s="9">
        <f t="shared" si="8"/>
        <v>0</v>
      </c>
      <c r="F10" s="9">
        <f t="shared" si="8"/>
        <v>0</v>
      </c>
      <c r="G10" s="9">
        <f t="shared" si="8"/>
        <v>0</v>
      </c>
      <c r="H10" s="9">
        <f t="shared" si="8"/>
        <v>0</v>
      </c>
      <c r="I10" s="9">
        <f t="shared" si="8"/>
        <v>0</v>
      </c>
      <c r="J10" s="9">
        <f t="shared" si="8"/>
        <v>0</v>
      </c>
      <c r="K10" s="9">
        <f t="shared" si="8"/>
        <v>0</v>
      </c>
      <c r="L10" s="9">
        <f t="shared" si="8"/>
        <v>0</v>
      </c>
      <c r="M10" s="9">
        <f t="shared" si="8"/>
        <v>0</v>
      </c>
      <c r="N10" s="9">
        <f t="shared" si="8"/>
        <v>0</v>
      </c>
      <c r="O10" s="9">
        <f t="shared" si="8"/>
        <v>0</v>
      </c>
      <c r="P10" s="9">
        <f t="shared" si="8"/>
        <v>0</v>
      </c>
      <c r="Q10" s="9">
        <f t="shared" si="8"/>
        <v>0</v>
      </c>
      <c r="R10" s="9">
        <f t="shared" si="8"/>
        <v>0</v>
      </c>
      <c r="S10" s="9">
        <f t="shared" si="8"/>
        <v>0</v>
      </c>
      <c r="T10" s="9">
        <f t="shared" si="8"/>
        <v>0</v>
      </c>
      <c r="U10" s="9">
        <f t="shared" si="8"/>
        <v>0</v>
      </c>
      <c r="V10" s="9">
        <f t="shared" si="8"/>
        <v>0</v>
      </c>
      <c r="W10" s="9">
        <f t="shared" si="8"/>
        <v>0</v>
      </c>
      <c r="X10" s="9">
        <f t="shared" si="8"/>
        <v>0</v>
      </c>
      <c r="Y10" s="9">
        <f t="shared" si="8"/>
        <v>0</v>
      </c>
      <c r="Z10" s="9">
        <f t="shared" si="8"/>
        <v>0</v>
      </c>
      <c r="AA10" s="9">
        <f t="shared" si="8"/>
        <v>0</v>
      </c>
      <c r="AB10" s="9">
        <f t="shared" si="8"/>
        <v>0</v>
      </c>
      <c r="AC10" s="9">
        <f t="shared" si="8"/>
        <v>0</v>
      </c>
      <c r="AD10" s="9">
        <f t="shared" si="8"/>
        <v>0</v>
      </c>
      <c r="AE10" s="9">
        <f t="shared" si="8"/>
        <v>0</v>
      </c>
      <c r="AF10" s="9">
        <f t="shared" si="8"/>
        <v>0</v>
      </c>
      <c r="AG10" s="9">
        <f t="shared" si="8"/>
        <v>0</v>
      </c>
      <c r="AH10" s="9">
        <f t="shared" si="8"/>
        <v>0</v>
      </c>
      <c r="AI10" s="9">
        <f t="shared" si="8"/>
        <v>0</v>
      </c>
      <c r="AJ10" s="9">
        <f t="shared" si="8"/>
        <v>0</v>
      </c>
      <c r="AK10" s="9">
        <f t="shared" si="8"/>
        <v>0</v>
      </c>
      <c r="AL10" s="9">
        <f t="shared" si="8"/>
        <v>0</v>
      </c>
      <c r="AM10" s="9">
        <f t="shared" si="8"/>
        <v>0</v>
      </c>
      <c r="AN10" s="9">
        <f t="shared" si="8"/>
        <v>0</v>
      </c>
      <c r="AO10" s="9">
        <f t="shared" si="8"/>
        <v>0</v>
      </c>
      <c r="AP10" s="9">
        <f t="shared" si="8"/>
        <v>0</v>
      </c>
      <c r="AQ10" s="9">
        <f t="shared" si="8"/>
        <v>0</v>
      </c>
      <c r="AR10" s="9">
        <f t="shared" si="8"/>
        <v>0</v>
      </c>
      <c r="AS10" s="9">
        <f t="shared" si="8"/>
        <v>0</v>
      </c>
      <c r="AT10" s="9">
        <f t="shared" si="8"/>
        <v>0</v>
      </c>
      <c r="AU10" s="9">
        <f t="shared" si="8"/>
        <v>0</v>
      </c>
    </row>
    <row r="11" spans="1:48" x14ac:dyDescent="0.25">
      <c r="A11" s="13" t="s">
        <v>41</v>
      </c>
      <c r="B11" s="9">
        <f>SUM(B10,B9) * $B$50</f>
        <v>0</v>
      </c>
      <c r="C11" s="9">
        <f>(SUM($B9:C10) + B11) * $B$50</f>
        <v>0</v>
      </c>
      <c r="D11" s="9">
        <f>(SUM($B9:D10) + C11) * $B$50</f>
        <v>0</v>
      </c>
      <c r="E11" s="9">
        <f>(SUM($B9:E10) + D11) * $B$50</f>
        <v>0</v>
      </c>
      <c r="F11" s="9">
        <f>(SUM($B9:F10) + E11) * $B$50</f>
        <v>0</v>
      </c>
      <c r="G11" s="9">
        <f>(SUM($B9:G10) + F11) * $B$50</f>
        <v>0</v>
      </c>
      <c r="H11" s="9">
        <f>(SUM($B9:H10) + G11) * $B$50</f>
        <v>0</v>
      </c>
      <c r="I11" s="9">
        <f>(SUM($B9:I10) + H11) * $B$50</f>
        <v>0</v>
      </c>
      <c r="J11" s="9">
        <f>(SUM($B9:J10) + I11) * $B$50</f>
        <v>0</v>
      </c>
      <c r="K11" s="9">
        <f>(SUM($B9:K10) + J11) * $B$50</f>
        <v>0</v>
      </c>
      <c r="L11" s="9">
        <f>(SUM($B9:L10) + K11) * $B$50</f>
        <v>0</v>
      </c>
      <c r="M11" s="9">
        <f>(SUM($B9:M10) + L11) * $B$50</f>
        <v>0</v>
      </c>
      <c r="N11" s="9">
        <f>(SUM($B9:N10) + M11) * $B$50</f>
        <v>0</v>
      </c>
      <c r="O11" s="9">
        <f>(SUM($B9:O10) + N11) * $B$50</f>
        <v>0</v>
      </c>
      <c r="P11" s="9">
        <f>(SUM($B9:P10) + O11) * $B$50</f>
        <v>0</v>
      </c>
      <c r="Q11" s="9">
        <f>(SUM($B9:Q10) + P11) * $B$50</f>
        <v>0</v>
      </c>
      <c r="R11" s="9">
        <f>(SUM($B9:R10) + Q11) * $B$50</f>
        <v>0</v>
      </c>
      <c r="S11" s="9">
        <f>(SUM($B9:S10) + R11) * $B$50</f>
        <v>0</v>
      </c>
      <c r="T11" s="9">
        <f>(SUM($B9:T10) + S11) * $B$50</f>
        <v>0</v>
      </c>
      <c r="U11" s="9">
        <f>(SUM($B9:U10) + T11) * $B$50</f>
        <v>0</v>
      </c>
      <c r="V11" s="9">
        <f>(SUM($B9:V10) + U11) * $B$50</f>
        <v>0</v>
      </c>
      <c r="W11" s="9">
        <f>(SUM($B9:W10) + V11) * $B$50</f>
        <v>0</v>
      </c>
      <c r="X11" s="9">
        <f>(SUM($B9:X10) + W11) * $B$50</f>
        <v>0</v>
      </c>
      <c r="Y11" s="9">
        <f>(SUM($B9:Y10) + X11) * $B$50</f>
        <v>0</v>
      </c>
      <c r="Z11" s="9">
        <f>(SUM($B9:Z10) + Y11) * $B$50</f>
        <v>0</v>
      </c>
      <c r="AA11" s="9">
        <f>(SUM($B9:AA10) + Z11) * $B$50</f>
        <v>0</v>
      </c>
      <c r="AB11" s="9">
        <f>(SUM($B9:AB10) + AA11) * $B$50</f>
        <v>0</v>
      </c>
      <c r="AC11" s="9">
        <f>(SUM($B9:AC10) + AB11) * $B$50</f>
        <v>0</v>
      </c>
      <c r="AD11" s="9">
        <f>(SUM($B9:AD10) + AC11) * $B$50</f>
        <v>0</v>
      </c>
      <c r="AE11" s="9">
        <f>(SUM($B9:AE10) + AD11) * $B$50</f>
        <v>0</v>
      </c>
      <c r="AF11" s="9">
        <f>(SUM($B9:AF10) + AE11) * $B$50</f>
        <v>0</v>
      </c>
      <c r="AG11" s="9">
        <f>(SUM($B9:AG10) + AF11) * $B$50</f>
        <v>0</v>
      </c>
      <c r="AH11" s="9">
        <f>(SUM($B9:AH10) + AG11) * $B$50</f>
        <v>0</v>
      </c>
      <c r="AI11" s="9">
        <f>(SUM($B9:AI10) + AH11) * $B$50</f>
        <v>0</v>
      </c>
      <c r="AJ11" s="9">
        <f>(SUM($B9:AJ10) + AI11) * $B$50</f>
        <v>0</v>
      </c>
      <c r="AK11" s="9">
        <f>(SUM($B9:AK10) + AJ11) * $B$50</f>
        <v>0</v>
      </c>
      <c r="AL11" s="9">
        <f>(SUM($B9:AL10) + AK11) * $B$50</f>
        <v>0</v>
      </c>
      <c r="AM11" s="9">
        <f>(SUM($B9:AM10) + AL11) * $B$50</f>
        <v>0</v>
      </c>
      <c r="AN11" s="9">
        <f>(SUM($B9:AN10) + AM11) * $B$50</f>
        <v>0</v>
      </c>
      <c r="AO11" s="9">
        <f>(SUM($B9:AO10) + AN11) * $B$50</f>
        <v>0</v>
      </c>
      <c r="AP11" s="9">
        <f>(SUM($B9:AP10) + AO11) * $B$50</f>
        <v>0</v>
      </c>
      <c r="AQ11" s="9">
        <f>(SUM($B9:AQ10) + AP11) * $B$50</f>
        <v>0</v>
      </c>
      <c r="AR11" s="9">
        <f>(SUM($B9:AR10) + AQ11) * $B$50</f>
        <v>0</v>
      </c>
      <c r="AS11" s="9">
        <f>(SUM($B9:AS10) + AR11) * $B$50</f>
        <v>0</v>
      </c>
      <c r="AT11" s="9">
        <f>(SUM($B9:AT10) + AS11) * $B$50</f>
        <v>0</v>
      </c>
      <c r="AU11" s="9">
        <f>(SUM($B9:AU10) + AT11) * $B$50</f>
        <v>0</v>
      </c>
    </row>
    <row r="12" spans="1:48" x14ac:dyDescent="0.25">
      <c r="A12" s="13" t="s">
        <v>24</v>
      </c>
      <c r="B12" s="9">
        <f>B11 - (B11*B40)</f>
        <v>0</v>
      </c>
      <c r="C12" s="9">
        <f t="shared" ref="C12:AU12" si="9">C11 - (C11*$B$40)</f>
        <v>0</v>
      </c>
      <c r="D12" s="9">
        <f t="shared" si="9"/>
        <v>0</v>
      </c>
      <c r="E12" s="9">
        <f t="shared" si="9"/>
        <v>0</v>
      </c>
      <c r="F12" s="9">
        <f t="shared" si="9"/>
        <v>0</v>
      </c>
      <c r="G12" s="9">
        <f t="shared" si="9"/>
        <v>0</v>
      </c>
      <c r="H12" s="9">
        <f t="shared" si="9"/>
        <v>0</v>
      </c>
      <c r="I12" s="9">
        <f t="shared" si="9"/>
        <v>0</v>
      </c>
      <c r="J12" s="9">
        <f t="shared" si="9"/>
        <v>0</v>
      </c>
      <c r="K12" s="9">
        <f t="shared" si="9"/>
        <v>0</v>
      </c>
      <c r="L12" s="9">
        <f t="shared" si="9"/>
        <v>0</v>
      </c>
      <c r="M12" s="9">
        <f t="shared" si="9"/>
        <v>0</v>
      </c>
      <c r="N12" s="9">
        <f t="shared" si="9"/>
        <v>0</v>
      </c>
      <c r="O12" s="9">
        <f t="shared" si="9"/>
        <v>0</v>
      </c>
      <c r="P12" s="9">
        <f t="shared" si="9"/>
        <v>0</v>
      </c>
      <c r="Q12" s="9">
        <f t="shared" si="9"/>
        <v>0</v>
      </c>
      <c r="R12" s="9">
        <f t="shared" si="9"/>
        <v>0</v>
      </c>
      <c r="S12" s="9">
        <f t="shared" si="9"/>
        <v>0</v>
      </c>
      <c r="T12" s="9">
        <f t="shared" si="9"/>
        <v>0</v>
      </c>
      <c r="U12" s="9">
        <f t="shared" si="9"/>
        <v>0</v>
      </c>
      <c r="V12" s="9">
        <f t="shared" si="9"/>
        <v>0</v>
      </c>
      <c r="W12" s="9">
        <f t="shared" si="9"/>
        <v>0</v>
      </c>
      <c r="X12" s="9">
        <f t="shared" si="9"/>
        <v>0</v>
      </c>
      <c r="Y12" s="9">
        <f t="shared" si="9"/>
        <v>0</v>
      </c>
      <c r="Z12" s="9">
        <f t="shared" si="9"/>
        <v>0</v>
      </c>
      <c r="AA12" s="9">
        <f t="shared" si="9"/>
        <v>0</v>
      </c>
      <c r="AB12" s="9">
        <f t="shared" si="9"/>
        <v>0</v>
      </c>
      <c r="AC12" s="9">
        <f t="shared" si="9"/>
        <v>0</v>
      </c>
      <c r="AD12" s="9">
        <f t="shared" si="9"/>
        <v>0</v>
      </c>
      <c r="AE12" s="9">
        <f t="shared" si="9"/>
        <v>0</v>
      </c>
      <c r="AF12" s="9">
        <f t="shared" si="9"/>
        <v>0</v>
      </c>
      <c r="AG12" s="9">
        <f t="shared" si="9"/>
        <v>0</v>
      </c>
      <c r="AH12" s="9">
        <f t="shared" si="9"/>
        <v>0</v>
      </c>
      <c r="AI12" s="9">
        <f t="shared" si="9"/>
        <v>0</v>
      </c>
      <c r="AJ12" s="9">
        <f t="shared" si="9"/>
        <v>0</v>
      </c>
      <c r="AK12" s="9">
        <f t="shared" si="9"/>
        <v>0</v>
      </c>
      <c r="AL12" s="9">
        <f t="shared" si="9"/>
        <v>0</v>
      </c>
      <c r="AM12" s="9">
        <f t="shared" si="9"/>
        <v>0</v>
      </c>
      <c r="AN12" s="9">
        <f t="shared" si="9"/>
        <v>0</v>
      </c>
      <c r="AO12" s="9">
        <f t="shared" si="9"/>
        <v>0</v>
      </c>
      <c r="AP12" s="9">
        <f t="shared" si="9"/>
        <v>0</v>
      </c>
      <c r="AQ12" s="9">
        <f t="shared" si="9"/>
        <v>0</v>
      </c>
      <c r="AR12" s="9">
        <f t="shared" si="9"/>
        <v>0</v>
      </c>
      <c r="AS12" s="9">
        <f t="shared" si="9"/>
        <v>0</v>
      </c>
      <c r="AT12" s="9">
        <f t="shared" si="9"/>
        <v>0</v>
      </c>
      <c r="AU12" s="9">
        <f t="shared" si="9"/>
        <v>0</v>
      </c>
    </row>
    <row r="13" spans="1:48" x14ac:dyDescent="0.25">
      <c r="A13" s="13" t="s">
        <v>42</v>
      </c>
      <c r="B13" s="9">
        <f>B12</f>
        <v>0</v>
      </c>
      <c r="C13" s="9">
        <f>IF(C12=0,0,C12/$C$49)</f>
        <v>0</v>
      </c>
      <c r="D13" s="9">
        <f t="shared" ref="D13:AU13" si="10">IF(D12=0,0,D12/$C$49)</f>
        <v>0</v>
      </c>
      <c r="E13" s="9">
        <f t="shared" si="10"/>
        <v>0</v>
      </c>
      <c r="F13" s="9">
        <f t="shared" si="10"/>
        <v>0</v>
      </c>
      <c r="G13" s="9">
        <f t="shared" si="10"/>
        <v>0</v>
      </c>
      <c r="H13" s="9">
        <f t="shared" si="10"/>
        <v>0</v>
      </c>
      <c r="I13" s="9">
        <f t="shared" si="10"/>
        <v>0</v>
      </c>
      <c r="J13" s="9">
        <f t="shared" si="10"/>
        <v>0</v>
      </c>
      <c r="K13" s="9">
        <f t="shared" si="10"/>
        <v>0</v>
      </c>
      <c r="L13" s="9">
        <f t="shared" si="10"/>
        <v>0</v>
      </c>
      <c r="M13" s="9">
        <f t="shared" si="10"/>
        <v>0</v>
      </c>
      <c r="N13" s="9">
        <f t="shared" si="10"/>
        <v>0</v>
      </c>
      <c r="O13" s="9">
        <f t="shared" si="10"/>
        <v>0</v>
      </c>
      <c r="P13" s="9">
        <f t="shared" si="10"/>
        <v>0</v>
      </c>
      <c r="Q13" s="9">
        <f t="shared" si="10"/>
        <v>0</v>
      </c>
      <c r="R13" s="9">
        <f t="shared" si="10"/>
        <v>0</v>
      </c>
      <c r="S13" s="9">
        <f t="shared" si="10"/>
        <v>0</v>
      </c>
      <c r="T13" s="9">
        <f t="shared" si="10"/>
        <v>0</v>
      </c>
      <c r="U13" s="9">
        <f t="shared" si="10"/>
        <v>0</v>
      </c>
      <c r="V13" s="9">
        <f t="shared" si="10"/>
        <v>0</v>
      </c>
      <c r="W13" s="9">
        <f t="shared" si="10"/>
        <v>0</v>
      </c>
      <c r="X13" s="9">
        <f t="shared" si="10"/>
        <v>0</v>
      </c>
      <c r="Y13" s="9">
        <f t="shared" si="10"/>
        <v>0</v>
      </c>
      <c r="Z13" s="9">
        <f t="shared" si="10"/>
        <v>0</v>
      </c>
      <c r="AA13" s="9">
        <f t="shared" si="10"/>
        <v>0</v>
      </c>
      <c r="AB13" s="9">
        <f t="shared" si="10"/>
        <v>0</v>
      </c>
      <c r="AC13" s="9">
        <f t="shared" si="10"/>
        <v>0</v>
      </c>
      <c r="AD13" s="9">
        <f t="shared" si="10"/>
        <v>0</v>
      </c>
      <c r="AE13" s="9">
        <f t="shared" si="10"/>
        <v>0</v>
      </c>
      <c r="AF13" s="9">
        <f t="shared" si="10"/>
        <v>0</v>
      </c>
      <c r="AG13" s="9">
        <f t="shared" si="10"/>
        <v>0</v>
      </c>
      <c r="AH13" s="9">
        <f t="shared" si="10"/>
        <v>0</v>
      </c>
      <c r="AI13" s="9">
        <f t="shared" si="10"/>
        <v>0</v>
      </c>
      <c r="AJ13" s="9">
        <f t="shared" si="10"/>
        <v>0</v>
      </c>
      <c r="AK13" s="9">
        <f t="shared" si="10"/>
        <v>0</v>
      </c>
      <c r="AL13" s="9">
        <f t="shared" si="10"/>
        <v>0</v>
      </c>
      <c r="AM13" s="9">
        <f t="shared" si="10"/>
        <v>0</v>
      </c>
      <c r="AN13" s="9">
        <f t="shared" si="10"/>
        <v>0</v>
      </c>
      <c r="AO13" s="9">
        <f t="shared" si="10"/>
        <v>0</v>
      </c>
      <c r="AP13" s="9">
        <f t="shared" si="10"/>
        <v>0</v>
      </c>
      <c r="AQ13" s="9">
        <f t="shared" si="10"/>
        <v>0</v>
      </c>
      <c r="AR13" s="9">
        <f t="shared" si="10"/>
        <v>0</v>
      </c>
      <c r="AS13" s="9">
        <f t="shared" si="10"/>
        <v>0</v>
      </c>
      <c r="AT13" s="9">
        <f t="shared" si="10"/>
        <v>0</v>
      </c>
      <c r="AU13" s="9">
        <f t="shared" si="10"/>
        <v>0</v>
      </c>
    </row>
    <row r="14" spans="1:48" x14ac:dyDescent="0.25">
      <c r="A14" s="13" t="s">
        <v>10</v>
      </c>
      <c r="B14" s="9">
        <f>IF(SUM(B9:B10)&gt;0,$B$52,0)</f>
        <v>0</v>
      </c>
      <c r="C14" s="9">
        <f>IF(SUM(C9:C10)&gt;0,$B$52,0)</f>
        <v>0</v>
      </c>
      <c r="D14" s="9">
        <f t="shared" ref="D14:AU14" si="11">IF(SUM(D9:D10)&gt;0,$B$52,0)</f>
        <v>0</v>
      </c>
      <c r="E14" s="9">
        <f t="shared" si="11"/>
        <v>0</v>
      </c>
      <c r="F14" s="9">
        <f t="shared" si="11"/>
        <v>0</v>
      </c>
      <c r="G14" s="9">
        <f t="shared" si="11"/>
        <v>0</v>
      </c>
      <c r="H14" s="9">
        <f t="shared" si="11"/>
        <v>0</v>
      </c>
      <c r="I14" s="9">
        <f t="shared" si="11"/>
        <v>0</v>
      </c>
      <c r="J14" s="9">
        <f t="shared" si="11"/>
        <v>0</v>
      </c>
      <c r="K14" s="9">
        <f t="shared" si="11"/>
        <v>0</v>
      </c>
      <c r="L14" s="9">
        <f t="shared" si="11"/>
        <v>0</v>
      </c>
      <c r="M14" s="9">
        <f t="shared" si="11"/>
        <v>0</v>
      </c>
      <c r="N14" s="9">
        <f t="shared" si="11"/>
        <v>0</v>
      </c>
      <c r="O14" s="9">
        <f t="shared" si="11"/>
        <v>0</v>
      </c>
      <c r="P14" s="9">
        <f t="shared" si="11"/>
        <v>0</v>
      </c>
      <c r="Q14" s="9">
        <f t="shared" si="11"/>
        <v>0</v>
      </c>
      <c r="R14" s="9">
        <f t="shared" si="11"/>
        <v>0</v>
      </c>
      <c r="S14" s="9">
        <f t="shared" si="11"/>
        <v>0</v>
      </c>
      <c r="T14" s="9">
        <f t="shared" si="11"/>
        <v>0</v>
      </c>
      <c r="U14" s="9">
        <f t="shared" si="11"/>
        <v>0</v>
      </c>
      <c r="V14" s="9">
        <f t="shared" si="11"/>
        <v>0</v>
      </c>
      <c r="W14" s="9">
        <f t="shared" si="11"/>
        <v>0</v>
      </c>
      <c r="X14" s="9">
        <f t="shared" si="11"/>
        <v>0</v>
      </c>
      <c r="Y14" s="9">
        <f t="shared" si="11"/>
        <v>0</v>
      </c>
      <c r="Z14" s="9">
        <f t="shared" si="11"/>
        <v>0</v>
      </c>
      <c r="AA14" s="9">
        <f t="shared" si="11"/>
        <v>0</v>
      </c>
      <c r="AB14" s="9">
        <f t="shared" si="11"/>
        <v>0</v>
      </c>
      <c r="AC14" s="9">
        <f t="shared" si="11"/>
        <v>0</v>
      </c>
      <c r="AD14" s="9">
        <f t="shared" si="11"/>
        <v>0</v>
      </c>
      <c r="AE14" s="9">
        <f t="shared" si="11"/>
        <v>0</v>
      </c>
      <c r="AF14" s="9">
        <f t="shared" si="11"/>
        <v>0</v>
      </c>
      <c r="AG14" s="9">
        <f t="shared" si="11"/>
        <v>0</v>
      </c>
      <c r="AH14" s="9">
        <f t="shared" si="11"/>
        <v>0</v>
      </c>
      <c r="AI14" s="9">
        <f t="shared" si="11"/>
        <v>0</v>
      </c>
      <c r="AJ14" s="9">
        <f t="shared" si="11"/>
        <v>0</v>
      </c>
      <c r="AK14" s="9">
        <f t="shared" si="11"/>
        <v>0</v>
      </c>
      <c r="AL14" s="9">
        <f t="shared" si="11"/>
        <v>0</v>
      </c>
      <c r="AM14" s="9">
        <f t="shared" si="11"/>
        <v>0</v>
      </c>
      <c r="AN14" s="9">
        <f t="shared" si="11"/>
        <v>0</v>
      </c>
      <c r="AO14" s="9">
        <f t="shared" si="11"/>
        <v>0</v>
      </c>
      <c r="AP14" s="9">
        <f t="shared" si="11"/>
        <v>0</v>
      </c>
      <c r="AQ14" s="9">
        <f t="shared" si="11"/>
        <v>0</v>
      </c>
      <c r="AR14" s="9">
        <f t="shared" si="11"/>
        <v>0</v>
      </c>
      <c r="AS14" s="9">
        <f t="shared" si="11"/>
        <v>0</v>
      </c>
      <c r="AT14" s="9">
        <f t="shared" si="11"/>
        <v>0</v>
      </c>
      <c r="AU14" s="9">
        <f t="shared" si="11"/>
        <v>0</v>
      </c>
    </row>
    <row r="15" spans="1:48" x14ac:dyDescent="0.25">
      <c r="A15" s="13" t="s">
        <v>11</v>
      </c>
      <c r="B15" s="9">
        <f>(SUM(B10,B9) + B11) * $B$51</f>
        <v>0</v>
      </c>
      <c r="C15" s="9">
        <f>(SUM($B9:C10) + C11 + B15) * $B$51</f>
        <v>0</v>
      </c>
      <c r="D15" s="9">
        <f>(SUM($B9:D10) + D11 + C15) * $B$51</f>
        <v>0</v>
      </c>
      <c r="E15" s="9">
        <f>(SUM($B9:E10) + E11 + D15) * $B$51</f>
        <v>0</v>
      </c>
      <c r="F15" s="9">
        <f>(SUM($B9:F10) + F11 + E15) * $B$51</f>
        <v>0</v>
      </c>
      <c r="G15" s="9">
        <f>(SUM($B9:G10) + G11 + F15) * $B$51</f>
        <v>0</v>
      </c>
      <c r="H15" s="9">
        <f>(SUM($B9:H10) + H11 + G15) * $B$51</f>
        <v>0</v>
      </c>
      <c r="I15" s="9">
        <f>(SUM($B9:I10) + I11 + H15) * $B$51</f>
        <v>0</v>
      </c>
      <c r="J15" s="9">
        <f>(SUM($B9:J10) + J11 + I15) * $B$51</f>
        <v>0</v>
      </c>
      <c r="K15" s="9">
        <f>(SUM($B9:K10) + K11 + J15) * $B$51</f>
        <v>0</v>
      </c>
      <c r="L15" s="9">
        <f>(SUM($B9:L10) + L11 + K15) * $B$51</f>
        <v>0</v>
      </c>
      <c r="M15" s="9">
        <f>(SUM($B9:M10) + M11 + L15) * $B$51</f>
        <v>0</v>
      </c>
      <c r="N15" s="9">
        <f>(SUM($B9:N10) + N11 + M15) * $B$51</f>
        <v>0</v>
      </c>
      <c r="O15" s="9">
        <f>(SUM($B9:O10) + O11 + N15) * $B$51</f>
        <v>0</v>
      </c>
      <c r="P15" s="9">
        <f>(SUM($B9:P10) + P11 + O15) * $B$51</f>
        <v>0</v>
      </c>
      <c r="Q15" s="9">
        <f>(SUM($B9:Q10) + Q11 + P15) * $B$51</f>
        <v>0</v>
      </c>
      <c r="R15" s="9">
        <f>(SUM($B9:R10) + R11 + Q15) * $B$51</f>
        <v>0</v>
      </c>
      <c r="S15" s="9">
        <f>(SUM($B9:S10) + S11 + R15) * $B$51</f>
        <v>0</v>
      </c>
      <c r="T15" s="9">
        <f>(SUM($B9:T10) + T11 + S15) * $B$51</f>
        <v>0</v>
      </c>
      <c r="U15" s="9">
        <f>(SUM($B9:U10) + U11 + T15) * $B$51</f>
        <v>0</v>
      </c>
      <c r="V15" s="9">
        <f>(SUM($B9:V10) + V11 + U15) * $B$51</f>
        <v>0</v>
      </c>
      <c r="W15" s="9">
        <f>(SUM($B9:W10) + W11 + V15) * $B$51</f>
        <v>0</v>
      </c>
      <c r="X15" s="9">
        <f>(SUM($B9:X10) + X11 + W15) * $B$51</f>
        <v>0</v>
      </c>
      <c r="Y15" s="9">
        <f>(SUM($B9:Y10) + Y11 + X15) * $B$51</f>
        <v>0</v>
      </c>
      <c r="Z15" s="9">
        <f>(SUM($B9:Z10) + Z11 + Y15) * $B$51</f>
        <v>0</v>
      </c>
      <c r="AA15" s="9">
        <f>(SUM($B9:AA10) + AA11 + Z15) * $B$51</f>
        <v>0</v>
      </c>
      <c r="AB15" s="9">
        <f>(SUM($B9:AB10) + AB11 + AA15) * $B$51</f>
        <v>0</v>
      </c>
      <c r="AC15" s="9">
        <f>(SUM($B9:AC10) + AC11 + AB15) * $B$51</f>
        <v>0</v>
      </c>
      <c r="AD15" s="9">
        <f>(SUM($B9:AD10) + AD11 + AC15) * $B$51</f>
        <v>0</v>
      </c>
      <c r="AE15" s="9">
        <f>(SUM($B9:AE10) + AE11 + AD15) * $B$51</f>
        <v>0</v>
      </c>
      <c r="AF15" s="9">
        <f>(SUM($B9:AF10) + AF11 + AE15) * $B$51</f>
        <v>0</v>
      </c>
      <c r="AG15" s="9">
        <f>(SUM($B9:AG10) + AG11 + AF15) * $B$51</f>
        <v>0</v>
      </c>
      <c r="AH15" s="9">
        <f>(SUM($B9:AH10) + AH11 + AG15) * $B$51</f>
        <v>0</v>
      </c>
      <c r="AI15" s="9">
        <f>(SUM($B9:AI10) + AI11 + AH15) * $B$51</f>
        <v>0</v>
      </c>
      <c r="AJ15" s="9">
        <f>(SUM($B9:AJ10) + AJ11 + AI15) * $B$51</f>
        <v>0</v>
      </c>
      <c r="AK15" s="9">
        <f>(SUM($B9:AK10) + AK11 + AJ15) * $B$51</f>
        <v>0</v>
      </c>
      <c r="AL15" s="9">
        <f>(SUM($B9:AL10) + AL11 + AK15) * $B$51</f>
        <v>0</v>
      </c>
      <c r="AM15" s="9">
        <f>(SUM($B9:AM10) + AM11 + AL15) * $B$51</f>
        <v>0</v>
      </c>
      <c r="AN15" s="9">
        <f>(SUM($B9:AN10) + AN11 + AM15) * $B$51</f>
        <v>0</v>
      </c>
      <c r="AO15" s="9">
        <f>(SUM($B9:AO10) + AO11 + AN15) * $B$51</f>
        <v>0</v>
      </c>
      <c r="AP15" s="9">
        <f>(SUM($B9:AP10) + AP11 + AO15) * $B$51</f>
        <v>0</v>
      </c>
      <c r="AQ15" s="9">
        <f>(SUM($B9:AQ10) + AQ11 + AP15) * $B$51</f>
        <v>0</v>
      </c>
      <c r="AR15" s="9">
        <f>(SUM($B9:AR10) + AR11 + AQ15) * $B$51</f>
        <v>0</v>
      </c>
      <c r="AS15" s="9">
        <f>(SUM($B9:AS10) + AS11 + AR15) * $B$51</f>
        <v>0</v>
      </c>
      <c r="AT15" s="9">
        <f>(SUM($B9:AT10) + AT11 + AS15) * $B$51</f>
        <v>0</v>
      </c>
      <c r="AU15" s="9">
        <f>(SUM($B9:AU10) + AU11 + AT15) * $B$51</f>
        <v>0</v>
      </c>
    </row>
    <row r="16" spans="1:48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</row>
    <row r="17" spans="1:47" x14ac:dyDescent="0.25">
      <c r="A17" s="42" t="s">
        <v>28</v>
      </c>
      <c r="B17" s="43"/>
      <c r="C17" s="44" t="s">
        <v>46</v>
      </c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</row>
    <row r="18" spans="1:47" x14ac:dyDescent="0.25">
      <c r="A18" s="17" t="s">
        <v>54</v>
      </c>
      <c r="B18" s="27">
        <f>COUNT(B2:INDEX(2:2,MATCH(B46,1:1,0)))</f>
        <v>0</v>
      </c>
      <c r="C18" s="39" t="s">
        <v>54</v>
      </c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</row>
    <row r="19" spans="1:47" x14ac:dyDescent="0.25">
      <c r="A19" s="17" t="s">
        <v>36</v>
      </c>
      <c r="B19" s="6">
        <f>IF(B55="SI",SUM(B9:INDEX(9:9,MATCH(B46,1:1,0))) + SUM(B10:INDEX(10:10,MATCH(B46,1:1,0))),0)</f>
        <v>0</v>
      </c>
      <c r="C19" s="39" t="s">
        <v>47</v>
      </c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spans="1:47" x14ac:dyDescent="0.25">
      <c r="A20" s="17" t="s">
        <v>25</v>
      </c>
      <c r="B20" s="6">
        <f>IF(B55="SI",SUM(B13:INDEX(13:13,MATCH(B46,1:1,0))),0)</f>
        <v>0</v>
      </c>
      <c r="C20" s="39" t="s">
        <v>55</v>
      </c>
      <c r="D20" s="39"/>
      <c r="E20" s="39"/>
      <c r="F20" s="39"/>
      <c r="G20" s="39"/>
      <c r="H20" s="39"/>
      <c r="I20" s="39"/>
      <c r="J20" s="39"/>
      <c r="K20" s="39"/>
      <c r="L20" s="39"/>
      <c r="M20" s="39"/>
    </row>
    <row r="21" spans="1:47" x14ac:dyDescent="0.25">
      <c r="A21" s="17" t="s">
        <v>26</v>
      </c>
      <c r="B21" s="7">
        <f>IF(B55="SI",B20/B19,0)</f>
        <v>0</v>
      </c>
      <c r="C21" s="39" t="s">
        <v>55</v>
      </c>
      <c r="D21" s="39"/>
      <c r="E21" s="39"/>
      <c r="F21" s="39"/>
      <c r="G21" s="39"/>
      <c r="H21" s="39"/>
      <c r="I21" s="39"/>
      <c r="J21" s="39"/>
      <c r="K21" s="39"/>
      <c r="L21" s="39"/>
      <c r="M21" s="39"/>
    </row>
    <row r="22" spans="1:47" x14ac:dyDescent="0.25">
      <c r="A22" s="18" t="s">
        <v>37</v>
      </c>
      <c r="B22" s="9">
        <f>IF(B55="SI",SUM(B14:INDEX(14:14,MATCH(B46,1:1,0))) + SUM(B15:INDEX(15:15,MATCH(B46,1:1,0))),0)</f>
        <v>0</v>
      </c>
      <c r="C22" s="39" t="s">
        <v>48</v>
      </c>
      <c r="D22" s="39"/>
      <c r="E22" s="39"/>
      <c r="F22" s="39"/>
      <c r="G22" s="39"/>
      <c r="H22" s="39"/>
      <c r="I22" s="39"/>
      <c r="J22" s="39"/>
      <c r="K22" s="39"/>
      <c r="L22" s="39"/>
      <c r="M22" s="39"/>
    </row>
    <row r="23" spans="1:47" x14ac:dyDescent="0.25">
      <c r="A23" s="18" t="s">
        <v>8</v>
      </c>
      <c r="B23" s="6">
        <f>IF(B55="SI",B19*B42,0)</f>
        <v>0</v>
      </c>
      <c r="C23" s="39" t="s">
        <v>49</v>
      </c>
      <c r="D23" s="39"/>
      <c r="E23" s="39"/>
      <c r="F23" s="39"/>
      <c r="G23" s="39"/>
      <c r="H23" s="39"/>
      <c r="I23" s="39"/>
      <c r="J23" s="39"/>
      <c r="K23" s="39"/>
      <c r="L23" s="39"/>
      <c r="M23" s="39"/>
    </row>
    <row r="24" spans="1:47" x14ac:dyDescent="0.25">
      <c r="A24" s="17" t="s">
        <v>13</v>
      </c>
      <c r="B24" s="16">
        <f>IF(B55="SI",B19+B20-B22-B23,0)</f>
        <v>0</v>
      </c>
      <c r="C24" s="39" t="s">
        <v>61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</row>
    <row r="25" spans="1:47" x14ac:dyDescent="0.25">
      <c r="A25" s="17" t="s">
        <v>27</v>
      </c>
      <c r="B25" s="16">
        <f>IF(B55="SI",B24-B19,0)</f>
        <v>0</v>
      </c>
      <c r="C25" s="39" t="s">
        <v>62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</row>
    <row r="26" spans="1:47" x14ac:dyDescent="0.25">
      <c r="A26" s="17" t="s">
        <v>64</v>
      </c>
      <c r="B26" s="32">
        <f>IF(B55="SI",B25/B19,0)</f>
        <v>0</v>
      </c>
      <c r="C26" s="36"/>
      <c r="D26" s="37"/>
      <c r="E26" s="37"/>
      <c r="F26" s="37"/>
      <c r="G26" s="37"/>
      <c r="H26" s="37"/>
      <c r="I26" s="37"/>
      <c r="J26" s="37"/>
      <c r="K26" s="37"/>
      <c r="L26" s="37"/>
      <c r="M26" s="38"/>
    </row>
    <row r="27" spans="1:47" x14ac:dyDescent="0.25">
      <c r="A27" s="17" t="s">
        <v>66</v>
      </c>
      <c r="B27" s="9">
        <f>IF(B55="SI",SUM(B8:INDEX(8:8,MATCH(B46,1:1,0))),0)</f>
        <v>0</v>
      </c>
      <c r="C27" s="39" t="s">
        <v>50</v>
      </c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spans="1:47" x14ac:dyDescent="0.25">
      <c r="A28" s="26" t="s">
        <v>65</v>
      </c>
      <c r="B28" s="9">
        <f>IF(B55="SI",(MAX(0,MIN(SUM(B9:INDEX(9:9,MATCH(B46,1:1,0)))+SUM(B10:INDEX(10:10,MATCH(B46,1:1,0))),$B$37))*$C$37+MAX(0,MIN(SUM(B9:INDEX(9:9,MATCH(B46,1:1,0)))+SUM(B10:INDEX(10:10,MATCH(B46,1:1,0))),$B$38)-$B$37)*$C$38+MAX(0,MIN(SUM(B9:INDEX(9:9,MATCH(B46,1:1,0)))+SUM(B10:INDEX(10:10,MATCH(B46,1:1,0))),$B$39)-$B$38)*$C$10+MAX(0,(SUM(B9:INDEX(9:9,MATCH(B46,1:1,0)))+SUM(B10:INDEX(10:10,MATCH(B46,1:1,0))))-$B$39)*$C$39),0)</f>
        <v>0</v>
      </c>
      <c r="C28" s="39" t="s">
        <v>53</v>
      </c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1:47" x14ac:dyDescent="0.25">
      <c r="A29" s="26" t="s">
        <v>69</v>
      </c>
      <c r="B29" s="9">
        <f>B28-B27</f>
        <v>0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</row>
    <row r="30" spans="1:47" x14ac:dyDescent="0.25">
      <c r="A30" s="17" t="s">
        <v>56</v>
      </c>
      <c r="B30" s="9">
        <f>IF(B55="SI",SUM(B19:B20) / B44,0)</f>
        <v>0</v>
      </c>
      <c r="C30" s="39" t="s">
        <v>51</v>
      </c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spans="1:47" x14ac:dyDescent="0.25">
      <c r="A31" s="17" t="s">
        <v>63</v>
      </c>
      <c r="B31" s="9">
        <f>IF(B55="SI",B30/13,0)</f>
        <v>0</v>
      </c>
      <c r="C31" s="39" t="s">
        <v>52</v>
      </c>
      <c r="D31" s="39"/>
      <c r="E31" s="39"/>
      <c r="F31" s="39"/>
      <c r="G31" s="39"/>
      <c r="H31" s="39"/>
      <c r="I31" s="39"/>
      <c r="J31" s="39"/>
      <c r="K31" s="39"/>
      <c r="L31" s="39"/>
      <c r="M31" s="39"/>
    </row>
    <row r="32" spans="1:47" x14ac:dyDescent="0.25">
      <c r="A32" s="17" t="s">
        <v>57</v>
      </c>
      <c r="B32" s="9">
        <f>B24/B44</f>
        <v>0</v>
      </c>
      <c r="C32" s="31"/>
      <c r="D32" s="30"/>
      <c r="E32" s="30"/>
      <c r="F32" s="30"/>
      <c r="G32" s="30"/>
      <c r="H32" s="30"/>
      <c r="I32" s="30"/>
      <c r="J32" s="30"/>
      <c r="K32" s="30"/>
      <c r="L32" s="30"/>
      <c r="M32" s="30"/>
    </row>
    <row r="33" spans="1:47" x14ac:dyDescent="0.25">
      <c r="A33" s="17" t="s">
        <v>58</v>
      </c>
      <c r="B33" s="9">
        <f>B32/13</f>
        <v>0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</row>
    <row r="34" spans="1:47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</row>
    <row r="35" spans="1:47" x14ac:dyDescent="0.25">
      <c r="A35" s="40" t="s">
        <v>14</v>
      </c>
      <c r="B35" s="40"/>
      <c r="C35" s="40"/>
      <c r="D35" s="1"/>
      <c r="E35" s="41" t="s">
        <v>7</v>
      </c>
      <c r="F35" s="41"/>
      <c r="G35" s="41"/>
    </row>
    <row r="36" spans="1:47" x14ac:dyDescent="0.25">
      <c r="A36" s="19" t="s">
        <v>17</v>
      </c>
      <c r="B36" s="9">
        <v>8500</v>
      </c>
      <c r="C36" s="4">
        <v>0</v>
      </c>
      <c r="E36" s="3" t="s">
        <v>4</v>
      </c>
      <c r="F36" s="3" t="s">
        <v>5</v>
      </c>
      <c r="G36" s="5" t="s">
        <v>6</v>
      </c>
    </row>
    <row r="37" spans="1:47" x14ac:dyDescent="0.25">
      <c r="A37" s="19" t="s">
        <v>18</v>
      </c>
      <c r="B37" s="9">
        <v>28000</v>
      </c>
      <c r="C37" s="4">
        <v>0.23</v>
      </c>
      <c r="E37" s="9">
        <f>MAX(0, MIN($B$45, $B$37))</f>
        <v>0</v>
      </c>
      <c r="F37" s="9">
        <f>MAX(0, MIN($B$45, $B$38) - $B$37)</f>
        <v>0</v>
      </c>
      <c r="G37" s="9">
        <f>MAX(0, $B$45 - $B$38)</f>
        <v>0</v>
      </c>
    </row>
    <row r="38" spans="1:47" x14ac:dyDescent="0.25">
      <c r="A38" s="19" t="s">
        <v>19</v>
      </c>
      <c r="B38" s="9">
        <v>50000</v>
      </c>
      <c r="C38" s="4">
        <v>0.35</v>
      </c>
      <c r="E38" s="4">
        <f>C37</f>
        <v>0.23</v>
      </c>
      <c r="F38" s="4">
        <v>0.35</v>
      </c>
      <c r="G38" s="4">
        <v>0.43</v>
      </c>
    </row>
    <row r="39" spans="1:47" x14ac:dyDescent="0.25">
      <c r="A39" s="19" t="s">
        <v>20</v>
      </c>
      <c r="B39" s="9">
        <v>50000</v>
      </c>
      <c r="C39" s="4">
        <v>0.43</v>
      </c>
      <c r="E39" s="9">
        <f>E37*E38</f>
        <v>0</v>
      </c>
      <c r="F39" s="9">
        <f>F37*F38</f>
        <v>0</v>
      </c>
      <c r="G39" s="9">
        <f>G37*G38</f>
        <v>0</v>
      </c>
    </row>
    <row r="40" spans="1:47" x14ac:dyDescent="0.25">
      <c r="A40" s="19" t="s">
        <v>22</v>
      </c>
      <c r="B40" s="4">
        <v>0.2</v>
      </c>
      <c r="C40" s="3"/>
      <c r="F40" s="23" t="s">
        <v>29</v>
      </c>
      <c r="G40" s="6">
        <f>E39+F39+G39</f>
        <v>0</v>
      </c>
    </row>
    <row r="41" spans="1:47" x14ac:dyDescent="0.25">
      <c r="A41" s="19" t="s">
        <v>43</v>
      </c>
      <c r="B41" s="8">
        <v>3.0000000000000001E-3</v>
      </c>
      <c r="C41" s="3"/>
      <c r="G41" s="2"/>
    </row>
    <row r="42" spans="1:47" x14ac:dyDescent="0.25">
      <c r="A42" s="19" t="s">
        <v>45</v>
      </c>
      <c r="B42" s="8" t="e">
        <f>IF(15%-(0.3% * COUNTIFS(B2:INDEX(2:2,MATCH(B46,1:1,0)),"&lt;&gt;0"))&lt;9%,9%,15%-(0.3% * COUNTIFS(B2:INDEX(2:2,MATCH(B46,1:1,0)),"&lt;&gt;0")))</f>
        <v>#N/A</v>
      </c>
      <c r="C42" s="3"/>
      <c r="G42" s="2"/>
    </row>
    <row r="43" spans="1:47" x14ac:dyDescent="0.25">
      <c r="A43" s="19" t="s">
        <v>44</v>
      </c>
      <c r="B43" s="14">
        <v>13.5</v>
      </c>
      <c r="C43" s="3"/>
      <c r="G43" s="2"/>
    </row>
    <row r="44" spans="1:47" x14ac:dyDescent="0.25">
      <c r="A44" s="19" t="s">
        <v>38</v>
      </c>
      <c r="B44" s="28">
        <v>25.5</v>
      </c>
      <c r="C44" s="3"/>
    </row>
    <row r="45" spans="1:47" x14ac:dyDescent="0.25">
      <c r="A45" s="10" t="s">
        <v>3</v>
      </c>
      <c r="B45" s="33">
        <v>0</v>
      </c>
      <c r="C45" s="3"/>
    </row>
    <row r="46" spans="1:47" x14ac:dyDescent="0.25">
      <c r="A46" s="10" t="s">
        <v>9</v>
      </c>
      <c r="B46" s="34">
        <v>0</v>
      </c>
      <c r="C46" s="3"/>
    </row>
    <row r="47" spans="1:47" x14ac:dyDescent="0.25">
      <c r="A47" s="10" t="s">
        <v>60</v>
      </c>
      <c r="B47" s="35">
        <v>5164.57</v>
      </c>
      <c r="C47" s="25">
        <f>B47/12</f>
        <v>430.38083333333333</v>
      </c>
    </row>
    <row r="48" spans="1:47" x14ac:dyDescent="0.25">
      <c r="A48" s="10" t="s">
        <v>32</v>
      </c>
      <c r="B48" s="8">
        <v>0.03</v>
      </c>
      <c r="C48" s="3"/>
    </row>
    <row r="49" spans="1:3" x14ac:dyDescent="0.25">
      <c r="A49" s="10" t="s">
        <v>31</v>
      </c>
      <c r="B49" s="14">
        <v>2</v>
      </c>
      <c r="C49" s="15">
        <f>IF(B49=0,0,B49/100 + 1)</f>
        <v>1.02</v>
      </c>
    </row>
    <row r="50" spans="1:3" x14ac:dyDescent="0.25">
      <c r="A50" s="10" t="s">
        <v>30</v>
      </c>
      <c r="B50" s="8">
        <v>0.04</v>
      </c>
      <c r="C50" s="3"/>
    </row>
    <row r="51" spans="1:3" x14ac:dyDescent="0.25">
      <c r="A51" s="10" t="s">
        <v>12</v>
      </c>
      <c r="B51" s="8">
        <v>0</v>
      </c>
      <c r="C51" s="3"/>
    </row>
    <row r="52" spans="1:3" x14ac:dyDescent="0.25">
      <c r="A52" s="10" t="s">
        <v>39</v>
      </c>
      <c r="B52" s="21">
        <v>0</v>
      </c>
      <c r="C52" s="3"/>
    </row>
    <row r="53" spans="1:3" x14ac:dyDescent="0.25">
      <c r="A53" s="10" t="s">
        <v>33</v>
      </c>
      <c r="B53" s="24" t="s">
        <v>59</v>
      </c>
      <c r="C53" s="3"/>
    </row>
    <row r="54" spans="1:3" x14ac:dyDescent="0.25">
      <c r="A54" s="10" t="s">
        <v>34</v>
      </c>
      <c r="B54" s="24" t="s">
        <v>59</v>
      </c>
      <c r="C54" s="3"/>
    </row>
    <row r="55" spans="1:3" x14ac:dyDescent="0.25">
      <c r="A55" s="10" t="s">
        <v>35</v>
      </c>
      <c r="B55" s="24" t="s">
        <v>59</v>
      </c>
      <c r="C55" s="3"/>
    </row>
  </sheetData>
  <mergeCells count="17">
    <mergeCell ref="C21:M21"/>
    <mergeCell ref="C22:M22"/>
    <mergeCell ref="C23:M23"/>
    <mergeCell ref="C24:M24"/>
    <mergeCell ref="C25:M25"/>
    <mergeCell ref="A17:B17"/>
    <mergeCell ref="C17:M17"/>
    <mergeCell ref="C18:M18"/>
    <mergeCell ref="C19:M19"/>
    <mergeCell ref="C20:M20"/>
    <mergeCell ref="C26:M26"/>
    <mergeCell ref="C30:M30"/>
    <mergeCell ref="C31:M31"/>
    <mergeCell ref="A35:C35"/>
    <mergeCell ref="E35:G35"/>
    <mergeCell ref="C27:M27"/>
    <mergeCell ref="C28:M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Fondo Pensione Fineco Amundi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Manfrin</dc:creator>
  <cp:lastModifiedBy>Luca Arietti</cp:lastModifiedBy>
  <dcterms:created xsi:type="dcterms:W3CDTF">2025-08-19T08:58:23Z</dcterms:created>
  <dcterms:modified xsi:type="dcterms:W3CDTF">2025-09-01T13:24:37Z</dcterms:modified>
</cp:coreProperties>
</file>